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gomery_Fleet_Equipment_Inve" sheetId="1" r:id="rId5"/>
    <sheet state="visible" name="Pivot Table 1" sheetId="2" r:id="rId6"/>
    <sheet state="visible" name="Pivot Table 2" sheetId="3" r:id="rId7"/>
    <sheet state="visible" name="Pivot Table 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<sst xmlns="http://schemas.openxmlformats.org/spreadsheetml/2006/main" count="169" uniqueCount="62">
  <si>
    <t>Department</t>
  </si>
  <si>
    <t>Equipment Class</t>
  </si>
  <si>
    <t>Equipment Count</t>
  </si>
  <si>
    <t>Housing and Community Affairs</t>
  </si>
  <si>
    <t>Pick Up Trucks</t>
  </si>
  <si>
    <t>SUV</t>
  </si>
  <si>
    <t>SUM</t>
  </si>
  <si>
    <t>Sedan</t>
  </si>
  <si>
    <t>AVERAGE</t>
  </si>
  <si>
    <t>Human Rights</t>
  </si>
  <si>
    <t>MIN</t>
  </si>
  <si>
    <t>Libraries</t>
  </si>
  <si>
    <t>MAX</t>
  </si>
  <si>
    <t>Van</t>
  </si>
  <si>
    <t>COUNT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</si>
  <si>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</si>
  <si>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</si>
  <si>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</si>
  <si>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</si>
  <si>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</si>
  <si>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</si>
  <si>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</si>
  <si>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</si>
  <si>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</si>
  <si>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</si>
  <si>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</si>
  <si>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</si>
  <si>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</si>
  <si>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</si>
  <si>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</si>
  <si>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</si>
  <si>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</si>
  <si>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</si>
  <si>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</si>
  <si>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</si>
  <si>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Grand Total</t>
  </si>
  <si>
    <t>Transportation Total</t>
  </si>
  <si>
    <t>Permitting Services Total</t>
  </si>
  <si>
    <t>Sheriffs Office Total</t>
  </si>
  <si>
    <t>Liquor Control Total</t>
  </si>
  <si>
    <t>Housing and Community Affairs Total</t>
  </si>
  <si>
    <t>Recreation Total</t>
  </si>
  <si>
    <t>Technology Services Total</t>
  </si>
  <si>
    <t>Libraries Total</t>
  </si>
  <si>
    <t>State Attorneys Office Total</t>
  </si>
  <si>
    <t>Human Rights Total</t>
  </si>
  <si>
    <t>Public Information Office Total</t>
  </si>
  <si>
    <t>Office Of Homeland Security Total</t>
  </si>
  <si>
    <t>CUV Total</t>
  </si>
  <si>
    <t>Heavy Duty Total</t>
  </si>
  <si>
    <t>Medium Duty Total</t>
  </si>
  <si>
    <t>Off Road Vehicle Equipment Total</t>
  </si>
  <si>
    <t>Pick Up Trucks Total</t>
  </si>
  <si>
    <t>Public Safety CUV Total</t>
  </si>
  <si>
    <t>Public Safety Pick Up Trucks Total</t>
  </si>
  <si>
    <t>Public Safety Sedan Total</t>
  </si>
  <si>
    <t>Public Safety SUV Total</t>
  </si>
  <si>
    <t>Public Safety Van Total</t>
  </si>
  <si>
    <t>Sedan Total</t>
  </si>
  <si>
    <t>SUV Total</t>
  </si>
  <si>
    <t>Transit Bus Total</t>
  </si>
  <si>
    <t>Van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</si>
</sst>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rgb="FF0D0F12"/>
      <name val="Source Sans Pr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ntgomery_Fleet_Equipment_Inv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50" sheet="Montgomery_Fleet_Equipment_Inve"/>
  </cacheSource>
  <cacheFields>
    <cacheField name="Department" numFmtId="0">
      <sharedItems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>
        <n v="21.0"/>
        <n v="1.0"/>
        <n v="23.0"/>
        <n v="2.0"/>
        <n v="3.0"/>
        <n v="42.0"/>
        <n v="11.0"/>
        <n v="9.0"/>
        <n v="27.0"/>
        <n v="24.0"/>
        <n v="48.0"/>
        <n v="6.0"/>
        <n v="5.0"/>
        <n v="15.0"/>
        <n v="7.0"/>
        <n v="20.0"/>
        <n v="8.0"/>
        <n v="4.0"/>
        <n v="46.0"/>
        <n v="93.0"/>
        <n v="248.0"/>
        <n v="379.0"/>
        <n v="53.0"/>
        <n v="32.0"/>
        <n v="98.0"/>
        <n v="276.0"/>
        <n v="3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4" firstHeaderRow="0" firstDataRow="1" firstDataCol="0"/>
  <pivotFields>
    <pivotField name="Departmen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quipment 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quipment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</rowFields>
  <dataFields>
    <dataField name="SUM of Equipment Count" fld="2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C23" firstHeaderRow="0" firstDataRow="2" firstDataCol="0"/>
  <pivotFields>
    <pivotField name="Departmen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quipment Class" axis="axisRow" compact="0" outline="0" multipleItemSelectionAllowed="1" showAll="0" sortType="ascending">
      <items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name="Equipment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0"/>
    <field x="1"/>
  </rowFields>
  <dataFields>
    <dataField name="SUM of Equipment Count" fld="2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compact="0" compactData="0">
  <location ref="A1:C19" firstHeaderRow="0" firstDataRow="2" firstDataCol="0"/>
  <pivotFields>
    <pivotField name="Departmen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Equipment Class" axis="axisRow" compact="0" outline="0" multipleItemSelectionAllowed="1" showAll="0" sortType="ascending">
      <items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name="Equipment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</pivotFields>
  <rowFields>
    <field x="1"/>
    <field x="0"/>
  </rowFields>
  <dataFields>
    <dataField name="SUM of Equipment Count" fld="2" baseField="0"/>
  </dataFields>
</pivotTableDefinition>
</file>

<file path=xl/tables/table1.xml><?xml version="1.0" encoding="utf-8"?>
<table xmlns="http://schemas.openxmlformats.org/spreadsheetml/2006/main" ref="A1:C50" displayName="Table1" name="Table1" id="1">
  <tableColumns count="3">
    <tableColumn name="Department" id="1"/>
    <tableColumn name="Equipment Class" id="2"/>
    <tableColumn name="Equipment Count" id="3"/>
  </tableColumns>
  <tableStyleInfo name="Montgomery_Fleet_Equipment_Inv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43"/>
    <col customWidth="1" min="2" max="2" width="29.14"/>
    <col customWidth="1" min="3" max="3" width="22.29"/>
    <col customWidth="1" min="4" max="4" width="8.71"/>
    <col customWidth="1" min="5" max="5" width="9.86"/>
    <col customWidth="1" min="6" max="6" width="13.43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>
        <v>21.0</v>
      </c>
    </row>
    <row r="3" ht="22.5" customHeight="1">
      <c r="A3" s="2" t="s">
        <v>3</v>
      </c>
      <c r="B3" s="2" t="s">
        <v>5</v>
      </c>
      <c r="C3" s="2">
        <v>1.0</v>
      </c>
      <c r="E3" s="3" t="s">
        <v>6</v>
      </c>
      <c r="F3" s="4">
        <f>SUM(Table1[Equipment Count])</f>
        <v>1582</v>
      </c>
    </row>
    <row r="4" ht="22.5" customHeight="1">
      <c r="A4" s="2" t="s">
        <v>3</v>
      </c>
      <c r="B4" s="2" t="s">
        <v>7</v>
      </c>
      <c r="C4" s="2">
        <v>23.0</v>
      </c>
      <c r="E4" s="3" t="s">
        <v>8</v>
      </c>
      <c r="F4" s="4">
        <f>AVERAGE(Table1[Equipment Count])</f>
        <v>32.28571429</v>
      </c>
    </row>
    <row r="5" ht="22.5" customHeight="1">
      <c r="A5" s="2" t="s">
        <v>9</v>
      </c>
      <c r="B5" s="2" t="s">
        <v>7</v>
      </c>
      <c r="C5" s="2">
        <v>2.0</v>
      </c>
      <c r="E5" s="3" t="s">
        <v>10</v>
      </c>
      <c r="F5" s="4">
        <f>MIN(Table1[Equipment Count])</f>
        <v>1</v>
      </c>
    </row>
    <row r="6" ht="22.5" customHeight="1">
      <c r="A6" s="2" t="s">
        <v>11</v>
      </c>
      <c r="B6" s="2" t="s">
        <v>4</v>
      </c>
      <c r="C6" s="2">
        <v>3.0</v>
      </c>
      <c r="E6" s="3" t="s">
        <v>12</v>
      </c>
      <c r="F6" s="4">
        <f>MAX(Table1[Equipment Count])</f>
        <v>379</v>
      </c>
    </row>
    <row r="7" ht="22.5" customHeight="1">
      <c r="A7" s="2" t="s">
        <v>11</v>
      </c>
      <c r="B7" s="2" t="s">
        <v>13</v>
      </c>
      <c r="C7" s="2">
        <v>2.0</v>
      </c>
      <c r="E7" s="3" t="s">
        <v>14</v>
      </c>
      <c r="F7" s="4">
        <f>COUNT(Table1[Equipment Count])</f>
        <v>49</v>
      </c>
    </row>
    <row r="8" ht="22.5" customHeight="1">
      <c r="A8" s="2" t="s">
        <v>11</v>
      </c>
      <c r="B8" s="2" t="s">
        <v>15</v>
      </c>
      <c r="C8" s="2">
        <v>1.0</v>
      </c>
    </row>
    <row r="9" ht="22.5" customHeight="1">
      <c r="A9" s="2" t="s">
        <v>16</v>
      </c>
      <c r="B9" s="2" t="s">
        <v>13</v>
      </c>
      <c r="C9" s="2">
        <v>2.0</v>
      </c>
    </row>
    <row r="10" ht="22.5" customHeight="1">
      <c r="A10" s="2" t="s">
        <v>16</v>
      </c>
      <c r="B10" s="2" t="s">
        <v>17</v>
      </c>
      <c r="C10" s="2">
        <v>42.0</v>
      </c>
    </row>
    <row r="11" ht="22.5" customHeight="1">
      <c r="A11" s="2" t="s">
        <v>16</v>
      </c>
      <c r="B11" s="2" t="s">
        <v>5</v>
      </c>
      <c r="C11" s="2">
        <v>1.0</v>
      </c>
    </row>
    <row r="12" ht="22.5" customHeight="1">
      <c r="A12" s="2" t="s">
        <v>16</v>
      </c>
      <c r="B12" s="2" t="s">
        <v>7</v>
      </c>
      <c r="C12" s="2">
        <v>11.0</v>
      </c>
    </row>
    <row r="13" ht="22.5" customHeight="1">
      <c r="A13" s="2" t="s">
        <v>18</v>
      </c>
      <c r="B13" s="2" t="s">
        <v>5</v>
      </c>
      <c r="C13" s="2">
        <v>1.0</v>
      </c>
    </row>
    <row r="14" ht="22.5" customHeight="1">
      <c r="A14" s="2" t="s">
        <v>19</v>
      </c>
      <c r="B14" s="2" t="s">
        <v>20</v>
      </c>
      <c r="C14" s="2">
        <v>9.0</v>
      </c>
    </row>
    <row r="15" ht="22.5" customHeight="1">
      <c r="A15" s="2" t="s">
        <v>19</v>
      </c>
      <c r="B15" s="2" t="s">
        <v>5</v>
      </c>
      <c r="C15" s="2">
        <v>27.0</v>
      </c>
    </row>
    <row r="16" ht="22.5" customHeight="1">
      <c r="A16" s="2" t="s">
        <v>19</v>
      </c>
      <c r="B16" s="2" t="s">
        <v>4</v>
      </c>
      <c r="C16" s="2">
        <v>24.0</v>
      </c>
    </row>
    <row r="17" ht="22.5" customHeight="1">
      <c r="A17" s="2" t="s">
        <v>19</v>
      </c>
      <c r="B17" s="2" t="s">
        <v>13</v>
      </c>
      <c r="C17" s="2">
        <v>1.0</v>
      </c>
    </row>
    <row r="18" ht="22.5" customHeight="1">
      <c r="A18" s="2" t="s">
        <v>19</v>
      </c>
      <c r="B18" s="2" t="s">
        <v>7</v>
      </c>
      <c r="C18" s="2">
        <v>48.0</v>
      </c>
    </row>
    <row r="19" ht="22.5" customHeight="1">
      <c r="A19" s="2" t="s">
        <v>21</v>
      </c>
      <c r="B19" s="2" t="s">
        <v>13</v>
      </c>
      <c r="C19" s="2">
        <v>1.0</v>
      </c>
    </row>
    <row r="20" ht="22.5" customHeight="1">
      <c r="A20" s="2" t="s">
        <v>22</v>
      </c>
      <c r="B20" s="2" t="s">
        <v>7</v>
      </c>
      <c r="C20" s="2">
        <v>6.0</v>
      </c>
    </row>
    <row r="21" ht="15.75" customHeight="1">
      <c r="A21" s="2" t="s">
        <v>22</v>
      </c>
      <c r="B21" s="2" t="s">
        <v>4</v>
      </c>
      <c r="C21" s="2">
        <v>5.0</v>
      </c>
    </row>
    <row r="22" ht="15.75" customHeight="1">
      <c r="A22" s="2" t="s">
        <v>22</v>
      </c>
      <c r="B22" s="2" t="s">
        <v>5</v>
      </c>
      <c r="C22" s="2">
        <v>2.0</v>
      </c>
    </row>
    <row r="23" ht="15.75" customHeight="1">
      <c r="A23" s="2" t="s">
        <v>22</v>
      </c>
      <c r="B23" s="2" t="s">
        <v>13</v>
      </c>
      <c r="C23" s="2">
        <v>15.0</v>
      </c>
    </row>
    <row r="24" ht="15.75" customHeight="1">
      <c r="A24" s="2" t="s">
        <v>22</v>
      </c>
      <c r="B24" s="2" t="s">
        <v>23</v>
      </c>
      <c r="C24" s="2">
        <v>7.0</v>
      </c>
    </row>
    <row r="25" ht="15.75" customHeight="1">
      <c r="A25" s="2" t="s">
        <v>24</v>
      </c>
      <c r="B25" s="2" t="s">
        <v>25</v>
      </c>
      <c r="C25" s="2">
        <v>20.0</v>
      </c>
    </row>
    <row r="26" ht="15.75" customHeight="1">
      <c r="A26" s="2" t="s">
        <v>24</v>
      </c>
      <c r="B26" s="2" t="s">
        <v>7</v>
      </c>
      <c r="C26" s="2">
        <v>1.0</v>
      </c>
    </row>
    <row r="27" ht="15.75" customHeight="1">
      <c r="A27" s="2" t="s">
        <v>24</v>
      </c>
      <c r="B27" s="2" t="s">
        <v>15</v>
      </c>
      <c r="C27" s="2">
        <v>1.0</v>
      </c>
    </row>
    <row r="28" ht="15.75" customHeight="1">
      <c r="A28" s="2" t="s">
        <v>24</v>
      </c>
      <c r="B28" s="2" t="s">
        <v>4</v>
      </c>
      <c r="C28" s="2">
        <v>3.0</v>
      </c>
    </row>
    <row r="29" ht="15.75" customHeight="1">
      <c r="A29" s="2" t="s">
        <v>24</v>
      </c>
      <c r="B29" s="2" t="s">
        <v>5</v>
      </c>
      <c r="C29" s="2">
        <v>1.0</v>
      </c>
    </row>
    <row r="30" ht="15.75" customHeight="1">
      <c r="A30" s="2" t="s">
        <v>24</v>
      </c>
      <c r="B30" s="2" t="s">
        <v>26</v>
      </c>
      <c r="C30" s="2">
        <v>8.0</v>
      </c>
    </row>
    <row r="31" ht="15.75" customHeight="1">
      <c r="A31" s="2" t="s">
        <v>24</v>
      </c>
      <c r="B31" s="2" t="s">
        <v>27</v>
      </c>
      <c r="C31" s="2">
        <v>4.0</v>
      </c>
    </row>
    <row r="32" ht="15.75" customHeight="1">
      <c r="A32" s="2" t="s">
        <v>24</v>
      </c>
      <c r="B32" s="2" t="s">
        <v>28</v>
      </c>
      <c r="C32" s="2">
        <v>46.0</v>
      </c>
    </row>
    <row r="33" ht="15.75" customHeight="1">
      <c r="A33" s="2" t="s">
        <v>24</v>
      </c>
      <c r="B33" s="2" t="s">
        <v>29</v>
      </c>
      <c r="C33" s="2">
        <v>1.0</v>
      </c>
    </row>
    <row r="34" ht="15.75" customHeight="1">
      <c r="A34" s="2" t="s">
        <v>30</v>
      </c>
      <c r="B34" s="2" t="s">
        <v>28</v>
      </c>
      <c r="C34" s="2">
        <v>1.0</v>
      </c>
    </row>
    <row r="35" ht="15.75" customHeight="1">
      <c r="A35" s="2" t="s">
        <v>30</v>
      </c>
      <c r="B35" s="2" t="s">
        <v>13</v>
      </c>
      <c r="C35" s="2">
        <v>1.0</v>
      </c>
    </row>
    <row r="36" ht="15.75" customHeight="1">
      <c r="A36" s="2" t="s">
        <v>30</v>
      </c>
      <c r="B36" s="2" t="s">
        <v>5</v>
      </c>
      <c r="C36" s="2">
        <v>1.0</v>
      </c>
    </row>
    <row r="37" ht="15.75" customHeight="1">
      <c r="A37" s="2" t="s">
        <v>30</v>
      </c>
      <c r="B37" s="2" t="s">
        <v>7</v>
      </c>
      <c r="C37" s="2">
        <v>2.0</v>
      </c>
    </row>
    <row r="38" ht="15.75" customHeight="1">
      <c r="A38" s="2" t="s">
        <v>31</v>
      </c>
      <c r="B38" s="2" t="s">
        <v>4</v>
      </c>
      <c r="C38" s="2">
        <v>1.0</v>
      </c>
    </row>
    <row r="39" ht="15.75" customHeight="1">
      <c r="A39" s="2" t="s">
        <v>31</v>
      </c>
      <c r="B39" s="2" t="s">
        <v>20</v>
      </c>
      <c r="C39" s="2">
        <v>1.0</v>
      </c>
    </row>
    <row r="40" ht="15.75" customHeight="1">
      <c r="A40" s="2" t="s">
        <v>31</v>
      </c>
      <c r="B40" s="2" t="s">
        <v>13</v>
      </c>
      <c r="C40" s="2">
        <v>11.0</v>
      </c>
    </row>
    <row r="41" ht="15.75" customHeight="1">
      <c r="A41" s="2" t="s">
        <v>31</v>
      </c>
      <c r="B41" s="2" t="s">
        <v>5</v>
      </c>
      <c r="C41" s="2">
        <v>3.0</v>
      </c>
    </row>
    <row r="42" ht="15.75" customHeight="1">
      <c r="A42" s="2" t="s">
        <v>32</v>
      </c>
      <c r="B42" s="2" t="s">
        <v>4</v>
      </c>
      <c r="C42" s="2">
        <v>93.0</v>
      </c>
    </row>
    <row r="43" ht="15.75" customHeight="1">
      <c r="A43" s="2" t="s">
        <v>32</v>
      </c>
      <c r="B43" s="2" t="s">
        <v>17</v>
      </c>
      <c r="C43" s="2">
        <v>248.0</v>
      </c>
    </row>
    <row r="44" ht="15.75" customHeight="1">
      <c r="A44" s="2" t="s">
        <v>32</v>
      </c>
      <c r="B44" s="2" t="s">
        <v>33</v>
      </c>
      <c r="C44" s="2">
        <v>379.0</v>
      </c>
    </row>
    <row r="45" ht="15.75" customHeight="1">
      <c r="A45" s="2" t="s">
        <v>32</v>
      </c>
      <c r="B45" s="2" t="s">
        <v>5</v>
      </c>
      <c r="C45" s="2">
        <v>53.0</v>
      </c>
    </row>
    <row r="46" ht="15.75" customHeight="1">
      <c r="A46" s="2" t="s">
        <v>32</v>
      </c>
      <c r="B46" s="2" t="s">
        <v>13</v>
      </c>
      <c r="C46" s="2">
        <v>32.0</v>
      </c>
    </row>
    <row r="47" ht="15.75" customHeight="1">
      <c r="A47" s="2" t="s">
        <v>32</v>
      </c>
      <c r="B47" s="2" t="s">
        <v>15</v>
      </c>
      <c r="C47" s="2">
        <v>98.0</v>
      </c>
    </row>
    <row r="48" ht="15.75" customHeight="1">
      <c r="A48" s="2" t="s">
        <v>32</v>
      </c>
      <c r="B48" s="2" t="s">
        <v>23</v>
      </c>
      <c r="C48" s="2">
        <v>276.0</v>
      </c>
    </row>
    <row r="49" ht="15.75" customHeight="1">
      <c r="A49" s="2" t="s">
        <v>32</v>
      </c>
      <c r="B49" s="2" t="s">
        <v>20</v>
      </c>
      <c r="C49" s="2">
        <v>5.0</v>
      </c>
    </row>
    <row r="50" ht="15.75" customHeight="1">
      <c r="A50" s="2" t="s">
        <v>32</v>
      </c>
      <c r="B50" s="2" t="s">
        <v>7</v>
      </c>
      <c r="C50" s="2">
        <v>37.0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0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