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_sales" sheetId="1" r:id="rId5"/>
    <sheet state="visible" name="Column Chart" sheetId="2" r:id="rId6"/>
    <sheet state="visible" name="Area Chart" sheetId="3" r:id="rId7"/>
    <sheet state="visible" name="Bar Chart" sheetId="4" r:id="rId8"/>
    <sheet state="visible" name="Line Chart" sheetId="5" r:id="rId9"/>
  </sheets>
  <definedNames>
    <definedName hidden="1" localSheetId="1" name="_xlnm._FilterDatabase">'Column Chart'!$A$1:$Z$1000</definedName>
    <definedName hidden="1" localSheetId="2" name="_xlnm._FilterDatabase">'Area Chart'!$A$1:$Z$1000</definedName>
    <definedName hidden="1" localSheetId="3" name="_xlnm._FilterDatabase">'Bar Chart'!$A$1:$D$1000</definedName>
    <definedName hidden="1" localSheetId="4" name="_xlnm._FilterDatabase">'Line Chart'!$A$3:$B$34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<sst xmlns="http://schemas.openxmlformats.org/spreadsheetml/2006/main" count="1501" uniqueCount="211">
  <si>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</si>
  <si>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</si>
  <si>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</si>
  <si>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</si>
  <si>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</si>
  <si>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</si>
  <si>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</si>
  <si>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</si>
  <si>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</si>
  <si>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</si>
  <si>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</si>
  <si>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</si>
  <si>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</si>
  <si>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Wheelbase</t>
  </si>
  <si>
    <t>Width</t>
  </si>
  <si>
    <t>Length</t>
  </si>
  <si>
    <t>Curb Weight</t>
  </si>
  <si>
    <t>Fuel Capacity</t>
  </si>
  <si>
    <t>Latest Launch</t>
  </si>
  <si>
    <t>Acura</t>
  </si>
  <si>
    <t>Integra</t>
  </si>
  <si>
    <t>Passenger</t>
  </si>
  <si>
    <t>TL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</si>
  <si>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</si>
  <si>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</si>
  <si>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</si>
  <si>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</si>
  <si>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</si>
  <si>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</si>
  <si>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</si>
  <si>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</si>
  <si>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</si>
  <si>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</si>
  <si>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</si>
  <si>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</si>
  <si>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</si>
  <si>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</si>
  <si>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</si>
  <si>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</si>
  <si>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</si>
  <si>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</si>
  <si>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</si>
  <si>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</si>
  <si>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</si>
  <si>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</si>
  <si>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</si>
  <si>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</si>
  <si>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</si>
  <si>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</si>
  <si>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</si>
  <si>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</si>
  <si>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</si>
  <si>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</si>
  <si>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</si>
  <si>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</si>
  <si>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</si>
  <si>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</si>
  <si>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</si>
  <si>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</si>
  <si>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</si>
  <si>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</si>
  <si>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</si>
  <si>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</si>
  <si>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</si>
  <si>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</si>
  <si>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</si>
  <si>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</si>
  <si>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</si>
  <si>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</si>
  <si>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</si>
  <si>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</si>
  <si>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</si>
  <si>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</si>
  <si>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</si>
  <si>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</si>
  <si>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</si>
  <si>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</si>
  <si>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</si>
  <si>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</si>
  <si>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</si>
  <si>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</si>
  <si>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</si>
  <si>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</si>
  <si>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</si>
  <si>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</si>
  <si>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</si>
  <si>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</si>
  <si>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</si>
  <si>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</si>
  <si>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</si>
  <si>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</si>
  <si>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</si>
  <si>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</si>
  <si>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</si>
  <si>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</si>
  <si>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Infiniti</t>
  </si>
  <si>
    <t>I30</t>
  </si>
  <si>
    <t>Jaguar</t>
  </si>
  <si>
    <t>S-Type</t>
  </si>
  <si>
    <t>Jeep</t>
  </si>
  <si>
    <t>Wrangler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</si>
  <si>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</si>
  <si>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</si>
  <si>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</si>
  <si>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</si>
  <si>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</si>
  <si>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</si>
  <si>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</si>
  <si>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</si>
  <si>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</si>
  <si>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</si>
  <si>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</si>
  <si>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</si>
  <si>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</si>
  <si>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</si>
  <si>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</si>
  <si>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</si>
  <si>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</si>
  <si>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</si>
  <si>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</si>
  <si>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</si>
  <si>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</si>
  <si>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</si>
  <si>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</si>
  <si>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</si>
  <si>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</si>
  <si>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</si>
  <si>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</si>
  <si>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</si>
  <si>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</si>
  <si>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</si>
  <si>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</si>
  <si>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</si>
  <si>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</si>
  <si>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</si>
  <si>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</si>
  <si>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</si>
  <si>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</si>
  <si>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</si>
  <si>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</si>
  <si>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</si>
  <si>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</si>
  <si>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</si>
  <si>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</si>
  <si>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</si>
  <si>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</si>
  <si>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</si>
  <si>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</si>
  <si>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</si>
  <si>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</si>
  <si>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</si>
  <si>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</si>
  <si>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</si>
  <si>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</si>
  <si>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</si>
  <si>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</si>
  <si>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</si>
  <si>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</si>
  <si>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</si>
  <si>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</si>
  <si>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</si>
  <si>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</si>
  <si>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</si>
  <si>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</si>
  <si>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</si>
  <si>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</si>
  <si>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</si>
  <si>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</si>
  <si>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</si>
  <si>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</si>
  <si>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</si>
  <si>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</si>
  <si>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</si>
  <si>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</si>
  <si>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</si>
  <si>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</si>
  <si>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</si>
  <si>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</si>
  <si>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</si>
  <si>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</si>
  <si>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</si>
  <si>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</si>
  <si>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</si>
  <si>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</si>
  <si>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</si>
  <si>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</si>
  <si>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</si>
  <si>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</si>
  <si>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</si>
  <si>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</si>
  <si>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</si>
  <si>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</si>
  <si>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</si>
  <si>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</si>
  <si>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</si>
  <si>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</si>
  <si>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</si>
  <si>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</si>
  <si>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</si>
  <si>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</si>
  <si>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</si>
  <si>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</si>
  <si>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</si>
  <si>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</si>
  <si>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</si>
  <si>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SUM of Price</t>
  </si>
  <si>
    <t>SUM of Year Resale Value</t>
  </si>
  <si>
    <t>Toyota Total</t>
  </si>
  <si>
    <t>Grand Total</t>
  </si>
  <si>
    <t>Row Labels</t>
  </si>
  <si>
    <t>Average of Retention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</si>
</sst>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-409]#,##0"/>
    <numFmt numFmtId="165" formatCode="[$$-409]#,##0.00"/>
    <numFmt numFmtId="166" formatCode="_-[$$-409]* #,##0_ ;_-[$$-409]* \-#,##0\ ;_-[$$-409]* &quot;-&quot;??_ ;_-@_ "/>
  </numFmts>
  <fonts count="8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i/>
      <sz val="10.0"/>
      <color theme="1"/>
      <name val="Arial"/>
    </font>
    <font>
      <sz val="11.0"/>
      <color theme="1"/>
      <name val="Calibri"/>
    </font>
    <font>
      <sz val="11.0"/>
      <color theme="1"/>
      <name val="Noto Sans Symbols"/>
    </font>
    <font>
      <color theme="1"/>
      <name val="Calibri"/>
      <scheme val="minor"/>
    </font>
    <font>
      <b/>
      <sz val="12.0"/>
      <color rgb="FF0D0F12"/>
      <name val="&quot;Source Sans Pro&quot;"/>
    </font>
  </fonts>
  <fills count="9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5" xfId="0" applyBorder="1" applyFont="1" applyNumberFormat="1"/>
    <xf borderId="0" fillId="0" fontId="2" numFmtId="0" xfId="0" applyFont="1"/>
    <xf borderId="1" fillId="3" fontId="2" numFmtId="0" xfId="0" applyBorder="1" applyFill="1" applyFont="1"/>
    <xf borderId="1" fillId="4" fontId="3" numFmtId="0" xfId="0" applyBorder="1" applyFill="1" applyFont="1"/>
    <xf borderId="2" fillId="0" fontId="4" numFmtId="1" xfId="0" applyBorder="1" applyFont="1" applyNumberFormat="1"/>
    <xf borderId="2" fillId="0" fontId="4" numFmtId="164" xfId="0" applyBorder="1" applyFont="1" applyNumberFormat="1"/>
    <xf borderId="2" fillId="0" fontId="4" numFmtId="9" xfId="0" applyBorder="1" applyFont="1" applyNumberFormat="1"/>
    <xf borderId="2" fillId="0" fontId="4" numFmtId="0" xfId="0" applyBorder="1" applyFont="1"/>
    <xf borderId="2" fillId="0" fontId="4" numFmtId="14" xfId="0" applyBorder="1" applyFont="1" applyNumberFormat="1"/>
    <xf borderId="0" fillId="0" fontId="4" numFmtId="166" xfId="0" applyFont="1" applyNumberFormat="1"/>
    <xf borderId="0" fillId="0" fontId="4" numFmtId="0" xfId="0" applyFont="1"/>
    <xf borderId="0" fillId="0" fontId="5" numFmtId="0" xfId="0" applyFont="1"/>
    <xf borderId="1" fillId="4" fontId="3" numFmtId="49" xfId="0" applyBorder="1" applyFont="1" applyNumberFormat="1"/>
    <xf borderId="0" fillId="0" fontId="4" numFmtId="165" xfId="0" applyFont="1" applyNumberFormat="1"/>
    <xf borderId="1" fillId="5" fontId="1" numFmtId="0" xfId="0" applyBorder="1" applyFill="1" applyFont="1"/>
    <xf borderId="1" fillId="5" fontId="1" numFmtId="165" xfId="0" applyBorder="1" applyFont="1" applyNumberFormat="1"/>
    <xf borderId="1" fillId="6" fontId="2" numFmtId="0" xfId="0" applyBorder="1" applyFill="1" applyFont="1"/>
    <xf borderId="1" fillId="6" fontId="3" numFmtId="0" xfId="0" applyBorder="1" applyFont="1"/>
    <xf borderId="2" fillId="6" fontId="4" numFmtId="0" xfId="0" applyBorder="1" applyFont="1"/>
    <xf borderId="2" fillId="6" fontId="4" numFmtId="1" xfId="0" applyBorder="1" applyFont="1" applyNumberFormat="1"/>
    <xf borderId="2" fillId="6" fontId="4" numFmtId="164" xfId="0" applyBorder="1" applyFont="1" applyNumberFormat="1"/>
    <xf borderId="2" fillId="6" fontId="4" numFmtId="9" xfId="0" applyBorder="1" applyFont="1" applyNumberFormat="1"/>
    <xf borderId="2" fillId="6" fontId="4" numFmtId="14" xfId="0" applyBorder="1" applyFont="1" applyNumberFormat="1"/>
    <xf borderId="1" fillId="7" fontId="2" numFmtId="0" xfId="0" applyBorder="1" applyFill="1" applyFont="1"/>
    <xf borderId="1" fillId="7" fontId="3" numFmtId="0" xfId="0" applyBorder="1" applyFont="1"/>
    <xf borderId="2" fillId="7" fontId="4" numFmtId="0" xfId="0" applyBorder="1" applyFont="1"/>
    <xf borderId="2" fillId="7" fontId="4" numFmtId="1" xfId="0" applyBorder="1" applyFont="1" applyNumberFormat="1"/>
    <xf borderId="2" fillId="7" fontId="4" numFmtId="164" xfId="0" applyBorder="1" applyFont="1" applyNumberFormat="1"/>
    <xf borderId="2" fillId="7" fontId="4" numFmtId="9" xfId="0" applyBorder="1" applyFont="1" applyNumberFormat="1"/>
    <xf borderId="2" fillId="7" fontId="4" numFmtId="14" xfId="0" applyBorder="1" applyFont="1" applyNumberFormat="1"/>
    <xf borderId="1" fillId="7" fontId="3" numFmtId="49" xfId="0" applyBorder="1" applyFont="1" applyNumberFormat="1"/>
    <xf borderId="1" fillId="6" fontId="3" numFmtId="49" xfId="0" applyBorder="1" applyFont="1" applyNumberFormat="1"/>
    <xf borderId="0" fillId="0" fontId="6" numFmtId="0" xfId="0" applyFont="1"/>
    <xf borderId="0" fillId="0" fontId="6" numFmtId="164" xfId="0" applyFont="1" applyNumberFormat="1"/>
    <xf borderId="0" fillId="0" fontId="4" numFmtId="9" xfId="0" applyFont="1" applyNumberFormat="1"/>
    <xf borderId="0" fillId="8" fontId="7" numFmtId="0" xfId="0" applyAlignment="1" applyFill="1" applyFont="1">
      <alignment readingOrder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385623"/>
      </font>
      <fill>
        <patternFill patternType="solid">
          <fgColor rgb="FFC5E0B3"/>
          <bgColor rgb="FFC5E0B3"/>
        </patternFill>
      </fill>
      <border/>
    </dxf>
    <dxf>
      <font>
        <b/>
        <color rgb="FFFF0000"/>
      </font>
      <fill>
        <patternFill patternType="solid">
          <fgColor rgb="FFFFCCCC"/>
          <bgColor rgb="FFFFCCCC"/>
        </patternFill>
      </fill>
      <border/>
    </dxf>
  </dxfs>
  <tableStyles count="1">
    <tableStyle count="3" pivot="0" name="Car_sa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Power Perf Factor of Toyota Cars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'Column Chart'!$C$1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'Column Chart'!$B$2:$B$144</c:f>
            </c:strRef>
          </c:cat>
          <c:val>
            <c:numRef>
              <c:f>'Column Chart'!$C$2:$C$144</c:f>
              <c:numCache/>
            </c:numRef>
          </c:val>
        </c:ser>
        <c:axId val="366653934"/>
        <c:axId val="56451978"/>
      </c:barChart>
      <c:catAx>
        <c:axId val="366653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451978"/>
      </c:catAx>
      <c:valAx>
        <c:axId val="564519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Power Perf Factor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66539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Unit Sales vs. Model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'Area Chart'!$C$1</c:f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>
                  <a:alpha val="100000"/>
                </a:srgbClr>
              </a:solidFill>
            </a:ln>
          </c:spPr>
          <c:cat>
            <c:strRef>
              <c:f>'Area Chart'!$B$2:$B$144</c:f>
            </c:strRef>
          </c:cat>
          <c:val>
            <c:numRef>
              <c:f>'Area Chart'!$C$2:$C$144</c:f>
              <c:numCache/>
            </c:numRef>
          </c:val>
        </c:ser>
        <c:axId val="1243412267"/>
        <c:axId val="2132684595"/>
      </c:areaChart>
      <c:catAx>
        <c:axId val="1243412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2684595"/>
      </c:catAx>
      <c:valAx>
        <c:axId val="21326845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Unit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34122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Price and SUM of Year Resale Value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'Bar Chart'!$C$1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'Bar Chart'!$B$2:$B$10</c:f>
            </c:strRef>
          </c:cat>
          <c:val>
            <c:numRef>
              <c:f>'Bar Chart'!$C$2:$C$10</c:f>
              <c:numCache/>
            </c:numRef>
          </c:val>
        </c:ser>
        <c:ser>
          <c:idx val="1"/>
          <c:order val="1"/>
          <c:tx>
            <c:strRef>
              <c:f>'Bar Chart'!$D$1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'Bar Chart'!$B$2:$B$10</c:f>
            </c:strRef>
          </c:cat>
          <c:val>
            <c:numRef>
              <c:f>'Bar Chart'!$D$2:$D$10</c:f>
              <c:numCache/>
            </c:numRef>
          </c:val>
        </c:ser>
        <c:axId val="738429687"/>
        <c:axId val="672735623"/>
      </c:barChart>
      <c:catAx>
        <c:axId val="7384296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Toyota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2735623"/>
      </c:catAx>
      <c:valAx>
        <c:axId val="6727356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842968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Retention % of Japanese Auto Manufacturers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'Line Chart'!$B$3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10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dPt>
            <c:idx val="6"/>
            <c:marker>
              <c:symbol val="none"/>
            </c:marker>
          </c:dPt>
          <c:cat>
            <c:strRef>
              <c:f>'Line Chart'!$A$4:$A$31</c:f>
            </c:strRef>
          </c:cat>
          <c:val>
            <c:numRef>
              <c:f>'Line Chart'!$B$4:$B$31</c:f>
              <c:numCache/>
            </c:numRef>
          </c:val>
          <c:smooth val="0"/>
        </c:ser>
        <c:axId val="963935351"/>
        <c:axId val="1448219255"/>
      </c:lineChart>
      <c:catAx>
        <c:axId val="963935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Manufacturers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8219255"/>
      </c:catAx>
      <c:valAx>
        <c:axId val="14482192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Retention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39353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847725</xdr:colOff>
      <xdr:row>135</xdr:row>
      <xdr:rowOff>123825</xdr:rowOff>
    </xdr:from>
    <xdr:ext cx="4762500" cy="2943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981075</xdr:colOff>
      <xdr:row>136</xdr:row>
      <xdr:rowOff>123825</xdr:rowOff>
    </xdr:from>
    <xdr:ext cx="4972050" cy="30765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600075</xdr:colOff>
      <xdr:row>1</xdr:row>
      <xdr:rowOff>9525</xdr:rowOff>
    </xdr:from>
    <xdr:ext cx="5153025" cy="31813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314325</xdr:colOff>
      <xdr:row>0</xdr:row>
      <xdr:rowOff>104775</xdr:rowOff>
    </xdr:from>
    <xdr:ext cx="5600700" cy="34575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156" sheet="Car_sales"/>
  </cacheSource>
  <cacheFields>
    <cacheField name="Manufacturer" numFmtId="0">
      <sharedItems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Model" numFmtId="0">
      <sharedItems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Unit Sales" numFmtId="1">
      <sharedItems containsSemiMixedTypes="0" containsString="0" containsNumber="1">
        <n v="16919.0"/>
        <n v="39384.0"/>
        <n v="8588.0"/>
        <n v="20397.0"/>
        <n v="18780.0"/>
        <n v="1380.0"/>
        <n v="19747.0"/>
        <n v="9231.0"/>
        <n v="17527.0"/>
        <n v="91561.0"/>
        <n v="39350.0"/>
        <n v="27851.0"/>
        <n v="83257.0"/>
        <n v="63729.0"/>
        <n v="15943.0"/>
        <n v="6536.0"/>
        <n v="11185.0"/>
        <n v="14785.0"/>
        <n v="145519.0"/>
        <n v="135126.0"/>
        <n v="24629.0"/>
        <n v="42593.0"/>
        <n v="26402.0"/>
        <n v="17947.0"/>
        <n v="32299.0"/>
        <n v="21855.0"/>
        <n v="107995.0"/>
        <n v="7854.0"/>
        <n v="32775.0"/>
        <n v="31148.0"/>
        <n v="32305.999999999996"/>
        <n v="13462.0"/>
        <n v="30696.0"/>
        <n v="76034.0"/>
        <n v="4734.0"/>
        <n v="71186.0"/>
        <n v="88028.0"/>
        <n v="916.0"/>
        <n v="227061.0"/>
        <n v="16767.0"/>
        <n v="31038.0"/>
        <n v="111313.0"/>
        <n v="101323.0"/>
        <n v="181749.0"/>
        <n v="70227.0"/>
        <n v="113369.0"/>
        <n v="35068.0"/>
        <n v="245815.0"/>
        <n v="175670.0"/>
        <n v="63403.0"/>
        <n v="276747.0"/>
        <n v="155787.0"/>
        <n v="125338.0"/>
        <n v="220650.0"/>
        <n v="540561.0"/>
        <n v="199685.0"/>
        <n v="230902.0"/>
        <n v="73203.0"/>
        <n v="12855.0"/>
        <n v="76029.0"/>
        <n v="41184.0"/>
        <n v="66692.0"/>
        <n v="29450.0"/>
        <n v="23713.0"/>
        <n v="15467.0"/>
        <n v="55557.0"/>
        <n v="80556.0"/>
        <n v="157040.0"/>
        <n v="24072.0"/>
        <n v="12698.0"/>
        <n v="3334.0"/>
        <n v="6375.0"/>
        <n v="9126.0"/>
        <n v="51238.0"/>
        <n v="13798.0"/>
        <n v="48911.0"/>
        <n v="22925.0"/>
        <n v="26232.0"/>
        <n v="42541.0"/>
        <n v="55616.0"/>
        <n v="5711.0"/>
        <n v="110.0"/>
        <n v="11337.0"/>
        <n v="39348.0"/>
        <n v="14351.0"/>
        <n v="26529.0"/>
        <n v="67956.0"/>
        <n v="81174.0"/>
        <n v="27609.0"/>
        <n v="20380.0"/>
        <n v="18392.0"/>
        <n v="27602.0"/>
        <n v="16774.0"/>
        <n v="3311.0"/>
        <n v="7998.0"/>
        <n v="1526.0"/>
        <n v="11592.0"/>
        <n v="954.0"/>
        <n v="28976.0"/>
        <n v="42643.0"/>
        <n v="88094.0"/>
        <n v="79853.0"/>
        <n v="27308.0"/>
        <n v="42574.0"/>
        <n v="54158.0"/>
        <n v="65004.99999999999"/>
        <n v="1112.0"/>
        <n v="38554.0"/>
        <n v="80255.0"/>
        <n v="14690.0"/>
        <n v="20017.0"/>
        <n v="24361.0"/>
        <n v="32734.0"/>
        <n v="5240.0"/>
        <n v="24155.0"/>
        <n v="1872.0"/>
        <n v="51645.0"/>
        <n v="131097.0"/>
        <n v="19911.0"/>
        <n v="92364.0"/>
        <n v="35945.0"/>
        <n v="39572.0"/>
        <n v="8982.0"/>
        <n v="1280.0"/>
        <n v="1866.0"/>
        <n v="9191.0"/>
        <n v="12115.0"/>
        <n v="80620.0"/>
        <n v="24546.0"/>
        <n v="5223.0"/>
        <n v="8472.0"/>
        <n v="49989.0"/>
        <n v="47107.0"/>
        <n v="33028.0"/>
        <n v="142535.0"/>
        <n v="247994.0"/>
        <n v="63849.0"/>
        <n v="33269.0"/>
        <n v="84087.0"/>
        <n v="65119.0"/>
        <n v="25106.0"/>
        <n v="68411.0"/>
        <n v="9835.0"/>
        <n v="9761.0"/>
        <n v="83721.0"/>
        <n v="51102.0"/>
        <n v="9569.0"/>
        <n v="5596.0"/>
        <n v="49463.0"/>
        <n v="16957.0"/>
        <n v="3545.0"/>
        <n v="15245.0"/>
        <n v="17531.0"/>
        <n v="3493.0"/>
        <n v="18969.0"/>
      </sharedItems>
    </cacheField>
    <cacheField name="Price" numFmtId="164">
      <sharedItems containsSemiMixedTypes="0" containsString="0" containsNumber="1">
        <n v="21500.0"/>
        <n v="28400.0"/>
        <n v="42000.0"/>
        <n v="23990.0"/>
        <n v="33950.0"/>
        <n v="62000.0"/>
        <n v="26990.0"/>
        <n v="33400.0"/>
        <n v="38900.0"/>
        <n v="21975.0"/>
        <n v="25300.0"/>
        <n v="31965.0"/>
        <n v="27885.0"/>
        <n v="39895.0"/>
        <n v="44475.0"/>
        <n v="39665.0"/>
        <n v="31010.0"/>
        <n v="46225.0"/>
        <n v="13260.0"/>
        <n v="16535.0"/>
        <n v="18890.0"/>
        <n v="19390.0"/>
        <n v="24340.0"/>
        <n v="55705.0"/>
        <n v="13960.0"/>
        <n v="9235.0"/>
        <n v="19840.0"/>
        <n v="24495.0"/>
        <n v="22245.0"/>
        <n v="16480.0"/>
        <n v="28340.0"/>
        <n v="29185.0"/>
        <n v="12640.0"/>
        <n v="19045.0"/>
        <n v="20230.0"/>
        <n v="22505.0"/>
        <n v="69725.0"/>
        <n v="19460.0"/>
        <n v="21315.0"/>
        <n v="18575.0"/>
        <n v="16980.0"/>
        <n v="26310.0"/>
        <n v="19565.0"/>
        <n v="12070.0"/>
        <n v="21560.0"/>
        <n v="17035.0"/>
        <n v="17885.0"/>
        <n v="12315.0"/>
        <n v="22195.0"/>
        <n v="31930.0"/>
        <n v="21410.0"/>
        <n v="36135.0"/>
        <n v="12050.0"/>
        <n v="26935.0"/>
        <n v="12885.0"/>
        <n v="15350.0"/>
        <n v="20550.0"/>
        <n v="26600.0"/>
        <n v="26000.0"/>
        <n v="9699.0"/>
        <n v="11799.0"/>
        <n v="14999.0"/>
        <n v="29465.0"/>
        <n v="42800.0"/>
        <n v="14460.0"/>
        <n v="21620.0"/>
        <n v="26895.0"/>
        <n v="31505.0"/>
        <n v="37805.0"/>
        <n v="46305.0"/>
        <n v="54005.0"/>
        <n v="60105.0"/>
        <n v="34605.0"/>
        <n v="39080.0"/>
        <n v="43330.0"/>
        <n v="42660.0"/>
        <n v="13987.0"/>
        <n v="19047.0"/>
        <n v="17357.0"/>
        <n v="24997.0"/>
        <n v="25450.0"/>
        <n v="31807.0"/>
        <n v="22527.0"/>
        <n v="16239.999999999998"/>
        <n v="16540.0"/>
        <n v="19035.0"/>
        <n v="22605.0"/>
        <n v="27560.0"/>
        <n v="22510.0"/>
        <n v="31750.0"/>
        <n v="49900.0"/>
        <n v="69700.0"/>
        <n v="82600.0"/>
        <n v="41000.0"/>
        <n v="41600.0"/>
        <n v="85500.0"/>
        <n v="35300.0"/>
        <n v="13499.0"/>
        <n v="20390.0"/>
        <n v="26249.0"/>
        <n v="26399.0"/>
        <n v="29299.0"/>
        <n v="22799.0"/>
        <n v="17890.0"/>
        <n v="18145.0"/>
        <n v="24150.0"/>
        <n v="18270.0"/>
        <n v="36229.0"/>
        <n v="31598.0"/>
        <n v="25345.0"/>
        <n v="16079.999999999998"/>
        <n v="18850.0"/>
        <n v="43000.0"/>
        <n v="21610.0"/>
        <n v="19720.0"/>
        <n v="25310.0"/>
        <n v="21665.0"/>
        <n v="23755.0"/>
        <n v="25635.0"/>
        <n v="41430.0"/>
        <n v="71020.0"/>
        <n v="74970.0"/>
        <n v="33120.0"/>
        <n v="26100.0"/>
        <n v="10685.0"/>
        <n v="12535.0"/>
        <n v="14290.0"/>
        <n v="18835.0"/>
        <n v="15010.0"/>
        <n v="22695.0"/>
        <n v="20095.0"/>
        <n v="13108.0"/>
        <n v="17518.0"/>
        <n v="25545.0"/>
        <n v="16875.0"/>
        <n v="11528.0"/>
        <n v="22368.0"/>
        <n v="16888.0"/>
        <n v="22288.0"/>
        <n v="51728.0"/>
        <n v="14900.0"/>
        <n v="16700.0"/>
        <n v="21200.0"/>
        <n v="19990.0"/>
        <n v="17500.0"/>
        <n v="15900.0"/>
        <n v="23400.0"/>
        <n v="24400.0"/>
        <n v="27500.0"/>
        <n v="28800.0"/>
        <n v="45500.0"/>
        <n v="36000.0"/>
      </sharedItems>
    </cacheField>
    <cacheField name="Year Resale Value" numFmtId="164">
      <sharedItems containsSemiMixedTypes="0" containsString="0" containsNumber="1">
        <n v="16360.0"/>
        <n v="19875.0"/>
        <n v="29725.0"/>
        <n v="22255.0"/>
        <n v="23555.0"/>
        <n v="39000.0"/>
        <n v="24500.0"/>
        <n v="28675.0"/>
        <n v="36125.0"/>
        <n v="12475.0"/>
        <n v="13740.0"/>
        <n v="20190.0"/>
        <n v="13360.0"/>
        <n v="22525.0"/>
        <n v="27100.0"/>
        <n v="25725.0"/>
        <n v="18225.0"/>
        <n v="31245.0"/>
        <n v="9250.0"/>
        <n v="11225.0"/>
        <n v="10310.0"/>
        <n v="11525.0"/>
        <n v="13025.0"/>
        <n v="36225.0"/>
        <n v="9125.0"/>
        <n v="5160.0"/>
        <n v="11550.0"/>
        <n v="12360.0"/>
        <n v="14180.0"/>
        <n v="13725.0"/>
        <n v="12640.0"/>
        <n v="17325.0"/>
        <n v="18425.0"/>
        <n v="7750.0"/>
        <n v="12545.0"/>
        <n v="10185.0"/>
        <n v="12275.0"/>
        <n v="58470.0"/>
        <n v="15060.0"/>
        <n v="15510.0"/>
        <n v="13425.0"/>
        <n v="11260.0"/>
        <n v="21436.0"/>
        <n v="12025.0"/>
        <n v="7425.0"/>
        <n v="12760.0"/>
        <n v="8835.0"/>
        <n v="10055.0"/>
        <n v="8670.0"/>
        <n v="14210.0"/>
        <n v="16640.0"/>
        <n v="13175.0"/>
        <n v="23575.0"/>
        <n v="7850.0"/>
        <n v="15075.0"/>
        <n v="9850.0"/>
        <n v="13210.0"/>
        <n v="17710.0"/>
        <n v="17525.0"/>
        <n v="19490.0"/>
        <n v="5860.0"/>
        <n v="7825.0"/>
        <n v="8910.0"/>
        <n v="19690.0"/>
        <n v="33219.0"/>
        <n v="13475.0"/>
        <n v="13775.0"/>
        <n v="18810.0"/>
        <n v="26975.0"/>
        <n v="32075.000000000004"/>
        <n v="38955.0"/>
        <n v="40375.0"/>
        <n v="43870.0"/>
        <n v="29140.0"/>
        <n v="20525.0"/>
        <n v="21725.0"/>
        <n v="20765.0"/>
        <n v="8325.0"/>
        <n v="10395.0"/>
        <n v="10595.0"/>
        <n v="16575.0"/>
        <n v="20940.0"/>
        <n v="19125.0"/>
        <n v="13880.0"/>
        <n v="8800.0"/>
        <n v="13890.0"/>
        <n v="11030.0"/>
        <n v="14875.0"/>
        <n v="20430.0"/>
        <n v="14795.0"/>
        <n v="26050.0"/>
        <n v="41450.0"/>
        <n v="50375.0"/>
        <n v="58600.0"/>
        <n v="32436.0"/>
        <n v="28635.0"/>
        <n v="29200.0"/>
        <n v="63423.0"/>
        <n v="28720.0"/>
        <n v="8450.0"/>
        <n v="11295.0"/>
        <n v="15125.0"/>
        <n v="15380.0"/>
        <n v="17810.0"/>
        <n v="13093.0"/>
        <n v="10670.0"/>
        <n v="11240.0"/>
        <n v="17100.0"/>
        <n v="11459.0"/>
        <n v="19890.0"/>
        <n v="19925.0"/>
        <n v="15240.0"/>
        <n v="9800.0"/>
        <n v="30434.0"/>
        <n v="13790.0"/>
        <n v="10290.0"/>
        <n v="17805.0"/>
        <n v="14010.0"/>
        <n v="13225.0"/>
        <n v="14215.0"/>
        <n v="41250.0"/>
        <n v="60625.0"/>
        <n v="67550.0"/>
        <n v="22789.0"/>
        <n v="18255.0"/>
        <n v="9200.0"/>
        <n v="10590.0"/>
        <n v="10790.0"/>
        <n v="13700.0"/>
        <n v="9900.0"/>
        <n v="16770.0"/>
        <n v="14832.0"/>
        <n v="10025.0"/>
        <n v="13245.0"/>
        <n v="18140.0"/>
        <n v="15445.0"/>
        <n v="9575.0"/>
        <n v="18689.0"/>
        <n v="13325.0"/>
        <n v="19425.0"/>
        <n v="34080.0"/>
        <n v="11425.0"/>
        <n v="13240.0"/>
        <n v="16725.0"/>
        <n v="13760.0"/>
        <n v="11986.0"/>
        <n v="14334.0"/>
        <n v="15252.0"/>
        <n v="18900.0"/>
        <n v="20223.0"/>
        <n v="34175.0"/>
        <n v="26403.0"/>
      </sharedItems>
    </cacheField>
    <cacheField name="Retention %" numFmtId="9">
      <sharedItems containsSemiMixedTypes="0" containsString="0" containsNumber="1">
        <n v="0.7609302325581395"/>
        <n v="0.6998239436619719"/>
        <n v="0.7077380952380953"/>
        <n v="0.9276781992496874"/>
        <n v="0.6938144329896907"/>
        <n v="0.6290322580645161"/>
        <n v="0.9077436087439793"/>
        <n v="0.8585329341317365"/>
        <n v="0.9286632390745502"/>
        <n v="0.5676905574516496"/>
        <n v="0.5430830039525691"/>
        <n v="0.6316283435007038"/>
        <n v="0.4791106329567868"/>
        <n v="0.5646070936207545"/>
        <n v="0.6093310848791456"/>
        <n v="0.6485566620446237"/>
        <n v="0.5877136407610448"/>
        <n v="0.6759329367225527"/>
        <n v="0.6975867269984917"/>
        <n v="0.6788630178409435"/>
        <n v="0.5457914240338804"/>
        <n v="0.5943785456420836"/>
        <n v="0.535127362366475"/>
        <n v="0.6503006911408311"/>
        <n v="0.6536532951289399"/>
        <n v="0.5587439090416892"/>
        <n v="0.6114346214928533"/>
        <n v="0.6229838709677419"/>
        <n v="0.5788936517656664"/>
        <n v="0.6169925826028321"/>
        <n v="0.7669902912621359"/>
        <n v="0.6113267466478476"/>
        <n v="0.6313174575980812"/>
        <n v="0.6131329113924051"/>
        <n v="0.658703071672355"/>
        <n v="0.5034602076124568"/>
        <n v="0.5454343479226839"/>
        <n v="0.8385801362495519"/>
        <n v="0.7738951695786228"/>
        <n v="0.7276565798733287"/>
        <n v="0.7227456258411844"/>
        <n v="0.6631330977620731"/>
        <n v="0.8147472443937667"/>
        <n v="0.6146179401993356"/>
        <n v="0.6151615575807788"/>
        <n v="0.5918367346938775"/>
        <n v="0.5186380980334605"/>
        <n v="0.5622029633771317"/>
        <n v="0.7040194884287454"/>
        <n v="0.6402342870015769"/>
        <n v="0.5211399937362982"/>
        <n v="0.6153666510976179"/>
        <n v="0.6524145565241456"/>
        <n v="0.6514522821576764"/>
        <n v="0.5596807128271766"/>
        <n v="0.7644547923942568"/>
        <n v="0.860586319218241"/>
        <n v="0.8618004866180049"/>
        <n v="0.6588345864661654"/>
        <n v="0.7496153846153846"/>
        <n v="0.6041859985565522"/>
        <n v="0.6631917959149081"/>
        <n v="0.594039602640176"/>
        <n v="0.6682504666553538"/>
        <n v="0.7761448598130841"/>
        <n v="0.931881051175657"/>
        <n v="0.6371415356151712"/>
        <n v="0.6993865030674846"/>
        <n v="0.8562132994762736"/>
        <n v="0.8484327469911388"/>
        <n v="0.8412698412698413"/>
        <n v="0.7476159614850477"/>
        <n v="0.7298893602861659"/>
        <n v="0.8420748446756249"/>
        <n v="0.5252047082906858"/>
        <n v="0.5013847219016847"/>
        <n v="0.48675574308485703"/>
        <n v="0.5951955387145206"/>
        <n v="0.545755237045204"/>
        <n v="0.610416546638244"/>
        <n v="0.6630795695483458"/>
        <n v="0.8227897838899804"/>
        <n v="0.601282736504543"/>
        <n v="0.6161495094775159"/>
        <n v="0.5418719211822661"/>
        <n v="0.839782345828295"/>
        <n v="0.5794588915156291"/>
        <n v="0.6580402565804025"/>
        <n v="0.7412917271407837"/>
        <n v="0.6572634384717904"/>
        <n v="0.8204724409448819"/>
        <n v="0.8306613226452906"/>
        <n v="0.7227403156384505"/>
        <n v="0.7094430992736077"/>
        <n v="0.8338303341902313"/>
        <n v="0.6984146341463414"/>
        <n v="0.7019230769230769"/>
        <n v="0.7417894736842106"/>
        <n v="0.8135977337110482"/>
        <n v="0.6259722942440181"/>
        <n v="0.5539480137322217"/>
        <n v="0.5762124271400815"/>
        <n v="0.582597825675215"/>
        <n v="0.6078705757875695"/>
        <n v="0.5742795736655116"/>
        <n v="0.5964225824482952"/>
        <n v="0.6194543951501791"/>
        <n v="0.7080745341614907"/>
        <n v="0.6272030651340996"/>
        <n v="0.5490077010130007"/>
        <n v="0.6305778846762453"/>
        <n v="0.6013020319589663"/>
        <n v="0.609452736318408"/>
        <n v="0.6379310344827587"/>
        <n v="0.7077674418604651"/>
        <n v="0.6381304951411384"/>
        <n v="0.5218052738336714"/>
        <n v="0.7034768866060845"/>
        <n v="0.6466651280867759"/>
        <n v="0.5567249000210482"/>
        <n v="0.554515311098108"/>
        <n v="0.9956553222302679"/>
        <n v="0.8536327794987327"/>
        <n v="0.9010270774976658"/>
        <n v="0.6880736714975846"/>
        <n v="0.6994252873563218"/>
        <n v="0.8610201216658867"/>
        <n v="0.8448344635021938"/>
        <n v="0.7550734779566131"/>
        <n v="0.727369259357579"/>
        <n v="0.6595602931379081"/>
        <n v="0.7389292795769994"/>
        <n v="0.7380940532470764"/>
        <n v="0.7648001220628624"/>
        <n v="0.7560794611256992"/>
        <n v="0.7101193971422979"/>
        <n v="0.9152592592592592"/>
        <n v="0.8305863983344899"/>
        <n v="0.8355239628040058"/>
        <n v="0.789021790620559"/>
        <n v="0.8715452261306532"/>
        <n v="0.6588308072997217"/>
        <n v="0.7667785234899329"/>
        <n v="0.792814371257485"/>
        <n v="0.7889150943396226"/>
        <n v="0.8291645822911455"/>
        <n v="0.7862857142857143"/>
        <n v="0.7538364779874214"/>
        <n v="0.6125641025641025"/>
        <n v="0.6250819672131147"/>
        <n v="0.6872727272727273"/>
        <n v="0.7021875"/>
        <n v="0.7510989010989011"/>
        <n v="0.7334166666666667"/>
      </sharedItems>
    </cacheField>
    <cacheField name="Retention Value" numFmtId="9">
      <sharedItems>
        <s v="GOOD"/>
        <s v="POOR"/>
      </sharedItems>
    </cacheField>
    <cacheField name="Engine Size" numFmtId="0">
      <sharedItems containsSemiMixedTypes="0" containsString="0" containsNumber="1">
        <n v="1.8"/>
        <n v="3.2"/>
        <n v="3.5"/>
        <n v="2.8"/>
        <n v="4.2"/>
        <n v="2.5"/>
        <n v="3.1"/>
        <n v="3.8"/>
        <n v="4.6"/>
        <n v="3.0"/>
        <n v="5.7"/>
        <n v="2.2"/>
        <n v="3.4"/>
        <n v="1.0"/>
        <n v="2.7"/>
        <n v="2.0"/>
        <n v="8.0"/>
        <n v="5.2"/>
        <n v="3.9"/>
        <n v="2.4"/>
        <n v="4.0"/>
        <n v="1.6"/>
        <n v="2.3"/>
        <n v="1.5"/>
        <n v="4.7"/>
        <n v="5.4"/>
        <n v="3.3"/>
        <n v="4.3"/>
        <n v="5.0"/>
        <n v="1.9"/>
        <n v="2.9"/>
      </sharedItems>
    </cacheField>
    <cacheField name="Horsepower" numFmtId="0">
      <sharedItems containsSemiMixedTypes="0" containsString="0" containsNumber="1" containsInteger="1">
        <n v="140.0"/>
        <n v="225.0"/>
        <n v="210.0"/>
        <n v="150.0"/>
        <n v="200.0"/>
        <n v="310.0"/>
        <n v="170.0"/>
        <n v="193.0"/>
        <n v="175.0"/>
        <n v="240.0"/>
        <n v="205.0"/>
        <n v="275.0"/>
        <n v="255.0"/>
        <n v="115.0"/>
        <n v="180.0"/>
        <n v="345.0"/>
        <n v="120.0"/>
        <n v="55.0"/>
        <n v="163.0"/>
        <n v="168.0"/>
        <n v="132.0"/>
        <n v="253.0"/>
        <n v="202.0"/>
        <n v="450.0"/>
        <n v="230.0"/>
        <n v="110.0"/>
        <n v="190.0"/>
        <n v="155.0"/>
        <n v="107.0"/>
        <n v="119.0"/>
        <n v="220.0"/>
        <n v="106.0"/>
        <n v="135.0"/>
        <n v="146.0"/>
        <n v="92.0"/>
        <n v="148.0"/>
        <n v="227.0"/>
        <n v="195.0"/>
        <n v="300.0"/>
        <n v="290.0"/>
        <n v="215.0"/>
        <n v="113.0"/>
        <n v="154.0"/>
        <n v="145.0"/>
        <n v="161.0"/>
        <n v="173.0"/>
        <n v="125.0"/>
        <n v="153.0"/>
        <n v="185.0"/>
        <n v="221.0"/>
        <n v="302.0"/>
        <n v="126.0"/>
        <n v="222.0"/>
        <n v="250.0"/>
        <n v="217.0"/>
        <n v="100.0"/>
        <n v="124.0"/>
        <n v="137.0"/>
        <n v="165.0"/>
        <n v="133.0"/>
        <n v="142.0"/>
        <n v="194.0"/>
        <n v="127.0"/>
        <n v="160.0"/>
        <n v="236.0"/>
        <n v="201.0"/>
      </sharedItems>
    </cacheField>
    <cacheField name="HP Level" numFmtId="0">
      <sharedItems>
        <s v="Medium HP"/>
        <s v="High HP"/>
        <s v="Low HP"/>
      </sharedItems>
    </cacheField>
    <cacheField name="Vehicle_type" numFmtId="0">
      <sharedItems>
        <s v="Passenger"/>
        <s v="Car"/>
      </sharedItems>
    </cacheField>
    <cacheField name="Fuel Efficiency" numFmtId="0">
      <sharedItems containsSemiMixedTypes="0" containsString="0" containsNumber="1" containsInteger="1">
        <n v="28.0"/>
        <n v="25.0"/>
        <n v="22.0"/>
        <n v="27.0"/>
        <n v="21.0"/>
        <n v="26.0"/>
        <n v="24.0"/>
        <n v="23.0"/>
        <n v="15.0"/>
        <n v="33.0"/>
        <n v="45.0"/>
        <n v="29.0"/>
        <n v="16.0"/>
        <n v="17.0"/>
        <n v="19.0"/>
        <n v="30.0"/>
        <n v="18.0"/>
        <n v="32.0"/>
        <n v="31.0"/>
        <n v="20.0"/>
      </sharedItems>
    </cacheField>
    <cacheField name="Power Perf Factor" numFmtId="0">
      <sharedItems containsSemiMixedTypes="0" containsString="0" containsNumber="1">
        <n v="58.28014952"/>
        <n v="91.37077766"/>
        <n v="91.38977933"/>
        <n v="62.7776392"/>
        <n v="84.56510502"/>
        <n v="134.6568582"/>
        <n v="71.19120671"/>
        <n v="81.87706856"/>
        <n v="83.9987238"/>
        <n v="71.18145132"/>
        <n v="95.63670253"/>
        <n v="85.82840825"/>
        <n v="84.25452581"/>
        <n v="113.8545976"/>
        <n v="115.6213578"/>
        <n v="113.7658739"/>
        <n v="83.48309358"/>
        <n v="109.5091165"/>
        <n v="46.36334747"/>
        <n v="67.31446216"/>
        <n v="69.9913956"/>
        <n v="72.03091719"/>
        <n v="81.11854333"/>
        <n v="141.14115"/>
        <n v="48.2976361"/>
        <n v="23.27627233"/>
        <n v="71.83803944"/>
        <n v="65.95718396"/>
        <n v="69.52135505"/>
        <n v="80.02378204"/>
        <n v="53.56619987"/>
        <n v="101.3292807"/>
        <n v="101.6552441"/>
        <n v="52.08489875"/>
        <n v="65.65050834"/>
        <n v="67.87610784"/>
        <n v="80.83147017"/>
        <n v="188.144323"/>
        <n v="90.21170005"/>
        <n v="71.13529161"/>
        <n v="70.07832154"/>
        <n v="49.64500177"/>
        <n v="92.85412522"/>
        <n v="61.22700031"/>
        <n v="44.08370946"/>
        <n v="76.50918456"/>
        <n v="67.35101072"/>
        <n v="62.5037395"/>
        <n v="43.11713201"/>
        <n v="80.49953671"/>
        <n v="87.63549578"/>
        <n v="62.09504839"/>
        <n v="100.0248023"/>
        <n v="47.38953131"/>
        <n v="89.40193473"/>
        <n v="42.87909734"/>
        <n v="54.26954829"/>
        <n v="60.08796662"/>
        <n v="83.6025008"/>
        <n v="85.21769134"/>
        <n v="36.67228358"/>
        <n v="54.59004516"/>
        <n v="58.758249"/>
        <n v="92.43688923"/>
        <n v="102.1789848"/>
        <n v="48.67289791"/>
        <n v="76.58443962"/>
        <n v="80.38777912"/>
        <n v="87.21100104"/>
        <n v="94.9466984"/>
        <n v="125.0133574"/>
        <n v="124.4467163"/>
        <n v="105.760458"/>
        <n v="91.94380156"/>
        <n v="113.5402069"/>
        <n v="93.9579169"/>
        <n v="123.9720467"/>
        <n v="45.83218056"/>
        <n v="62.44196235"/>
        <n v="58.60677292"/>
        <n v="84.83077858"/>
        <n v="67.54415494"/>
        <n v="83.92081504"/>
        <n v="70.66094179"/>
        <n v="50.99774761"/>
        <n v="51.11347426"/>
        <n v="62.23996663"/>
        <n v="80.65769646"/>
        <n v="85.94974425"/>
        <n v="69.671461"/>
        <n v="78.28073088"/>
        <n v="98.2497375"/>
        <n v="125.2738757"/>
        <n v="139.9822936"/>
        <n v="82.80736193"/>
        <n v="81.84896924"/>
        <n v="92.92579177"/>
        <n v="141.1009845"/>
        <n v="90.49553213"/>
        <n v="50.24197791"/>
        <n v="63.31372783"/>
        <n v="89.42782031"/>
        <n v="71.17166413"/>
        <n v="72.29035508"/>
        <n v="69.78294434"/>
        <n v="67.88927059"/>
        <n v="60.86161155"/>
        <n v="86.27252291"/>
        <n v="60.72744693"/>
        <n v="103.4416926"/>
        <n v="80.51167259"/>
        <n v="76.09657042"/>
        <n v="53.41189767"/>
        <n v="60.95118512"/>
        <n v="106.9844563"/>
        <n v="62.0158703"/>
        <n v="70.38973726"/>
        <n v="81.49272616"/>
        <n v="78.31816813"/>
        <n v="82.6613556"/>
        <n v="76.20843952"/>
        <n v="93.4373307"/>
        <n v="134.3909754"/>
        <n v="135.9147096"/>
        <n v="73.50377819"/>
        <n v="76.02304771"/>
        <n v="39.98642475"/>
        <n v="40.70007242"/>
        <n v="49.86577367"/>
        <n v="56.29524304"/>
        <n v="54.81972825"/>
        <n v="67.7659076"/>
        <n v="66.76294331"/>
        <n v="47.96897242"/>
        <n v="54.37241965"/>
        <n v="84.91189826"/>
        <n v="56.49603034"/>
        <n v="55.29711658"/>
        <n v="78.02721947"/>
        <n v="51.95510887"/>
        <n v="62.35557713"/>
        <n v="102.5289842"/>
        <n v="46.94387676"/>
        <n v="47.63823666"/>
        <n v="61.70138136"/>
        <n v="48.90737225"/>
        <n v="47.94684106"/>
        <n v="47.32963226"/>
        <n v="66.1130568"/>
        <n v="66.4988123"/>
        <n v="70.65449545"/>
        <n v="71.1559776"/>
        <n v="101.6233572"/>
        <n v="85.73565451"/>
      </sharedItems>
    </cacheField>
    <cacheField name="Wheelbase" numFmtId="0">
      <sharedItems containsSemiMixedTypes="0" containsString="0" containsNumber="1">
        <n v="101.2"/>
        <n v="108.1"/>
        <n v="114.6"/>
        <n v="102.6"/>
        <n v="108.7"/>
        <n v="113.0"/>
        <n v="107.3"/>
        <n v="111.4"/>
        <n v="109.0"/>
        <n v="113.8"/>
        <n v="112.2"/>
        <n v="115.3"/>
        <n v="108.0"/>
        <n v="107.4"/>
        <n v="117.5"/>
        <n v="104.1"/>
        <n v="107.0"/>
        <n v="107.5"/>
        <n v="110.5"/>
        <n v="101.1"/>
        <n v="104.5"/>
        <n v="97.1"/>
        <n v="93.1"/>
        <n v="103.7"/>
        <n v="106.0"/>
        <n v="105.0"/>
        <n v="96.2"/>
        <n v="138.7"/>
        <n v="109.6"/>
        <n v="127.2"/>
        <n v="131.0"/>
        <n v="115.7"/>
        <n v="113.3"/>
        <n v="98.4"/>
        <n v="101.3"/>
        <n v="106.5"/>
        <n v="108.5"/>
        <n v="103.0"/>
        <n v="114.7"/>
        <n v="111.6"/>
        <n v="120.7"/>
        <n v="119.0"/>
        <n v="138.5"/>
        <n v="103.2"/>
        <n v="106.9"/>
        <n v="106.4"/>
        <n v="118.1"/>
        <n v="96.1"/>
        <n v="100.4"/>
        <n v="106.3"/>
        <n v="108.3"/>
        <n v="114.5"/>
        <n v="93.4"/>
        <n v="101.4"/>
        <n v="105.9"/>
        <n v="105.1"/>
        <n v="110.2"/>
        <n v="117.7"/>
        <n v="100.8"/>
        <n v="107.1"/>
        <n v="97.2"/>
        <n v="111.5"/>
        <n v="121.5"/>
        <n v="99.0"/>
        <n v="94.5"/>
        <n v="113.6"/>
        <n v="111.0"/>
        <n v="99.8"/>
        <n v="103.1"/>
        <n v="104.3"/>
        <n v="116.1"/>
        <n v="120.0"/>
        <n v="95.2"/>
        <n v="92.6"/>
        <n v="102.4"/>
        <n v="103.5"/>
        <n v="99.4"/>
        <n v="97.0"/>
        <n v="105.2"/>
        <n v="103.3"/>
        <n v="114.2"/>
        <n v="94.9"/>
        <n v="105.3"/>
        <n v="98.9"/>
        <n v="97.4"/>
        <n v="100.5"/>
        <n v="104.9"/>
        <n v="109.9"/>
      </sharedItems>
    </cacheField>
    <cacheField name="Width" numFmtId="0">
      <sharedItems containsSemiMixedTypes="0" containsString="0" containsNumber="1">
        <n v="67.3"/>
        <n v="70.3"/>
        <n v="71.4"/>
        <n v="68.2"/>
        <n v="76.1"/>
        <n v="74.0"/>
        <n v="68.4"/>
        <n v="68.5"/>
        <n v="70.9"/>
        <n v="72.7"/>
        <n v="74.7"/>
        <n v="73.5"/>
        <n v="74.5"/>
        <n v="75.0"/>
        <n v="75.5"/>
        <n v="77.0"/>
        <n v="67.9"/>
        <n v="69.4"/>
        <n v="72.5"/>
        <n v="74.1"/>
        <n v="73.6"/>
        <n v="66.7"/>
        <n v="62.6"/>
        <n v="73.0"/>
        <n v="69.7"/>
        <n v="69.2"/>
        <n v="74.4"/>
        <n v="71.0"/>
        <n v="69.1"/>
        <n v="75.7"/>
        <n v="79.3"/>
        <n v="78.8"/>
        <n v="71.5"/>
        <n v="71.7"/>
        <n v="76.8"/>
        <n v="67.0"/>
        <n v="73.1"/>
        <n v="66.9"/>
        <n v="78.2"/>
        <n v="70.2"/>
        <n v="76.6"/>
        <n v="78.7"/>
        <n v="79.1"/>
        <n v="67.1"/>
        <n v="68.9"/>
        <n v="70.4"/>
        <n v="75.6"/>
        <n v="65.7"/>
        <n v="71.6"/>
        <n v="72.3"/>
        <n v="70.5"/>
        <n v="72.0"/>
        <n v="76.4"/>
        <n v="79.9"/>
        <n v="66.5"/>
        <n v="72.4"/>
        <n v="69.9"/>
        <n v="69.6"/>
        <n v="74.9"/>
        <n v="67.7"/>
        <n v="70.8"/>
        <n v="71.3"/>
        <n v="67.5"/>
        <n v="67.8"/>
        <n v="72.2"/>
        <n v="70.1"/>
        <n v="76.3"/>
        <n v="72.6"/>
        <n v="69.5"/>
        <n v="70.6"/>
        <n v="67.4"/>
        <n v="66.4"/>
        <n v="69.0"/>
        <n v="68.3"/>
        <n v="73.4"/>
        <n v="67.6"/>
        <n v="69.3"/>
        <n v="72.1"/>
      </sharedItems>
    </cacheField>
    <cacheField name="Length" numFmtId="0">
      <sharedItems containsSemiMixedTypes="0" containsString="0" containsNumber="1">
        <n v="172.4"/>
        <n v="192.9"/>
        <n v="196.6"/>
        <n v="178.0"/>
        <n v="192.0"/>
        <n v="198.2"/>
        <n v="176.0"/>
        <n v="188.0"/>
        <n v="194.6"/>
        <n v="196.2"/>
        <n v="206.8"/>
        <n v="200.0"/>
        <n v="207.2"/>
        <n v="201.0"/>
        <n v="200.6"/>
        <n v="194.8"/>
        <n v="201.2"/>
        <n v="180.9"/>
        <n v="190.4"/>
        <n v="200.9"/>
        <n v="197.9"/>
        <n v="193.2"/>
        <n v="179.7"/>
        <n v="174.3"/>
        <n v="149.4"/>
        <n v="190.9"/>
        <n v="193.0"/>
        <n v="209.1"/>
        <n v="186.0"/>
        <n v="207.7"/>
        <n v="197.8"/>
        <n v="174.4"/>
        <n v="190.2"/>
        <n v="203.7"/>
        <n v="176.7"/>
        <n v="224.2"/>
        <n v="192.6"/>
        <n v="208.5"/>
        <n v="215.0"/>
        <n v="193.5"/>
        <n v="186.3"/>
        <n v="174.7"/>
        <n v="183.2"/>
        <n v="184.6"/>
        <n v="197.6"/>
        <n v="174.8"/>
        <n v="212.0"/>
        <n v="190.7"/>
        <n v="204.6"/>
        <n v="200.7"/>
        <n v="224.5"/>
        <n v="175.1"/>
        <n v="188.8"/>
        <n v="177.6"/>
        <n v="178.2"/>
        <n v="166.7"/>
        <n v="174.0"/>
        <n v="185.4"/>
        <n v="193.7"/>
        <n v="191.3"/>
        <n v="152.0"/>
        <n v="167.5"/>
        <n v="181.5"/>
        <n v="189.2"/>
        <n v="196.7"/>
        <n v="192.5"/>
        <n v="180.1"/>
        <n v="215.3"/>
        <n v="204.8"/>
        <n v="173.6"/>
        <n v="175.4"/>
        <n v="187.8"/>
        <n v="194.1"/>
        <n v="180.3"/>
        <n v="186.6"/>
        <n v="178.3"/>
        <n v="184.8"/>
        <n v="185.0"/>
        <n v="199.7"/>
        <n v="190.1"/>
        <n v="194.7"/>
        <n v="177.4"/>
        <n v="189.4"/>
        <n v="203.1"/>
        <n v="177.1"/>
        <n v="157.9"/>
        <n v="157.3"/>
        <n v="180.6"/>
        <n v="177.5"/>
        <n v="183.5"/>
        <n v="190.5"/>
        <n v="182.6"/>
        <n v="196.1"/>
        <n v="195.9"/>
        <n v="186.7"/>
        <n v="205.4"/>
        <n v="181.2"/>
        <n v="201.4"/>
        <n v="165.4"/>
        <n v="181.9"/>
        <n v="193.4"/>
        <n v="196.5"/>
        <n v="202.5"/>
        <n v="201.3"/>
        <n v="171.0"/>
        <n v="174.5"/>
        <n v="182.2"/>
        <n v="176.9"/>
        <n v="180.0"/>
        <n v="185.8"/>
        <n v="175.2"/>
        <n v="188.5"/>
        <n v="191.9"/>
        <n v="170.5"/>
        <n v="178.7"/>
        <n v="163.8"/>
        <n v="183.3"/>
        <n v="163.3"/>
        <n v="172.3"/>
        <n v="184.1"/>
        <n v="160.4"/>
        <n v="161.1"/>
        <n v="176.6"/>
        <n v="185.9"/>
        <n v="186.2"/>
        <n v="185.7"/>
        <n v="189.8"/>
      </sharedItems>
    </cacheField>
    <cacheField name="Curb Weight" numFmtId="0">
      <sharedItems containsSemiMixedTypes="0" containsString="0" containsNumber="1">
        <n v="2.639"/>
        <n v="3.517"/>
        <n v="3.85"/>
        <n v="2.998"/>
        <n v="3.561"/>
        <n v="3.902"/>
        <n v="3.179"/>
        <n v="3.197"/>
        <n v="3.472"/>
        <n v="3.368"/>
        <n v="3.543"/>
        <n v="3.778"/>
        <n v="3.591"/>
        <n v="3.978"/>
        <n v="3.875"/>
        <n v="3.843"/>
        <n v="3.77"/>
        <n v="5.572"/>
        <n v="2.676"/>
        <n v="3.051"/>
        <n v="3.33"/>
        <n v="3.34"/>
        <n v="3.5"/>
        <n v="3.21"/>
        <n v="2.398"/>
        <n v="1.895"/>
        <n v="3.389"/>
        <n v="2.967"/>
        <n v="3.332"/>
        <n v="3.452"/>
        <n v="2.911"/>
        <n v="3.564"/>
        <n v="3.567"/>
        <n v="2.567"/>
        <n v="2.879"/>
        <n v="3.058"/>
        <n v="3.489"/>
        <n v="3.375"/>
        <n v="4.47"/>
        <n v="4.245"/>
        <n v="4.298"/>
        <n v="3.557"/>
        <n v="4.394"/>
        <n v="3.533"/>
        <n v="2.468"/>
        <n v="3.203"/>
        <n v="2.769"/>
        <n v="2.564"/>
        <n v="3.908"/>
        <n v="3.876"/>
        <n v="3.761"/>
        <n v="4.808"/>
        <n v="3.086"/>
        <n v="4.241"/>
        <n v="2.339"/>
        <n v="2.932"/>
        <n v="3.219"/>
        <n v="3.857"/>
        <n v="4.288"/>
        <n v="2.24"/>
        <n v="2.626"/>
        <n v="3.072"/>
        <n v="3.342"/>
        <n v="3.65"/>
        <n v="3.045"/>
        <n v="3.194"/>
        <n v="3.88"/>
        <n v="3.373"/>
        <n v="3.638"/>
        <n v="3.693"/>
        <n v="3.89"/>
        <n v="5.401"/>
        <n v="3.9"/>
        <n v="3.868"/>
        <n v="4.121"/>
        <n v="5.393"/>
        <n v="2.25"/>
        <n v="2.91"/>
        <n v="2.945"/>
        <n v="3.443"/>
        <n v="3.131"/>
        <n v="4.52"/>
        <n v="3.51"/>
        <n v="2.892"/>
        <n v="3.379"/>
        <n v="3.958"/>
        <n v="3.944"/>
        <n v="3.25"/>
        <n v="3.823"/>
        <n v="4.133"/>
        <n v="4.125"/>
        <n v="3.055"/>
        <n v="2.975"/>
        <n v="3.213"/>
        <n v="4.115"/>
        <n v="4.387"/>
        <n v="2.593"/>
        <n v="3.012"/>
        <n v="3.294"/>
        <n v="3.991"/>
        <n v="3.947"/>
        <n v="3.821"/>
        <n v="3.217"/>
        <n v="3.102"/>
        <n v="3.455"/>
        <n v="2.958"/>
        <n v="3.967"/>
        <n v="4.068"/>
        <n v="3.948"/>
        <n v="2.559"/>
        <n v="2.942"/>
        <n v="3.528"/>
        <n v="2.85"/>
        <n v="2.906"/>
        <n v="3.091"/>
        <n v="3.492"/>
        <n v="3.396"/>
        <n v="3.59"/>
        <n v="3.942"/>
        <n v="2.778"/>
        <n v="3.032"/>
        <n v="3.075"/>
        <n v="3.28"/>
        <n v="2.99"/>
        <n v="2.332"/>
        <n v="2.367"/>
        <n v="2.452"/>
        <n v="3.415"/>
        <n v="3.125"/>
        <n v="2.42"/>
        <n v="3.417"/>
        <n v="2.425"/>
        <n v="2.58"/>
        <n v="3.759"/>
        <n v="2.668"/>
        <n v="3.44"/>
        <n v="5.115"/>
        <n v="2.767"/>
        <n v="2.853"/>
        <n v="3.043"/>
        <n v="3.079"/>
        <n v="2.762"/>
        <n v="3.042"/>
        <n v="3.208"/>
        <n v="3.259"/>
        <n v="3.601"/>
        <n v="3.6"/>
      </sharedItems>
    </cacheField>
    <cacheField name="Fuel Capacity" numFmtId="0">
      <sharedItems containsSemiMixedTypes="0" containsString="0" containsNumber="1">
        <n v="13.2"/>
        <n v="17.2"/>
        <n v="18.0"/>
        <n v="16.4"/>
        <n v="18.5"/>
        <n v="23.7"/>
        <n v="16.6"/>
        <n v="17.5"/>
        <n v="19.0"/>
        <n v="30.0"/>
        <n v="14.3"/>
        <n v="15.0"/>
        <n v="17.0"/>
        <n v="16.8"/>
        <n v="19.1"/>
        <n v="10.3"/>
        <n v="15.9"/>
        <n v="16.0"/>
        <n v="12.5"/>
        <n v="26.0"/>
        <n v="32.0"/>
        <n v="22.0"/>
        <n v="25.0"/>
        <n v="20.0"/>
        <n v="12.7"/>
        <n v="15.7"/>
        <n v="21.0"/>
        <n v="25.1"/>
        <n v="11.9"/>
        <n v="17.1"/>
        <n v="15.3"/>
        <n v="21.1"/>
        <n v="14.5"/>
        <n v="18.4"/>
        <n v="20.5"/>
        <n v="19.8"/>
        <n v="22.5"/>
        <n v="25.4"/>
        <n v="16.3"/>
        <n v="24.3"/>
        <n v="19.5"/>
        <n v="23.2"/>
        <n v="14.0"/>
        <n v="19.4"/>
        <n v="15.2"/>
        <n v="12.0"/>
        <n v="16.9"/>
        <n v="12.1"/>
        <n v="13.1"/>
        <n v="15.1"/>
        <n v="20.9"/>
        <n v="13.7"/>
        <n v="14.6"/>
        <n v="15.8"/>
        <n v="17.9"/>
      </sharedItems>
    </cacheField>
    <cacheField name="Latest Launch" numFmtId="14">
      <sharedItems containsSemiMixedTypes="0" containsDate="1" containsString="0">
        <d v="2012-02-02T00:00:00Z"/>
        <d v="2011-06-03T00:00:00Z"/>
        <d v="2011-03-10T00:00:00Z"/>
        <d v="2011-10-08T00:00:00Z"/>
        <d v="2011-08-09T00:00:00Z"/>
        <d v="2012-02-27T00:00:00Z"/>
        <d v="2011-06-28T00:00:00Z"/>
        <d v="2012-01-29T00:00:00Z"/>
        <d v="2011-04-04T00:00:00Z"/>
        <d v="2011-11-02T00:00:00Z"/>
        <d v="2011-09-03T00:00:00Z"/>
        <d v="2012-03-23T00:00:00Z"/>
        <d v="2011-07-23T00:00:00Z"/>
        <d v="2012-02-23T00:00:00Z"/>
        <d v="2011-04-29T00:00:00Z"/>
        <d v="2011-11-27T00:00:00Z"/>
        <d v="2011-09-28T00:00:00Z"/>
        <d v="2012-04-17T00:00:00Z"/>
        <d v="2011-08-17T00:00:00Z"/>
        <d v="2012-03-19T00:00:00Z"/>
        <d v="2011-05-24T00:00:00Z"/>
        <d v="2011-12-22T00:00:00Z"/>
        <d v="2011-10-23T00:00:00Z"/>
        <d v="2012-05-12T00:00:00Z"/>
        <d v="2011-09-11T00:00:00Z"/>
        <d v="2012-04-13T00:00:00Z"/>
        <d v="2011-06-18T00:00:00Z"/>
        <d v="2012-01-16T00:00:00Z"/>
        <d v="2011-11-17T00:00:00Z"/>
        <d v="2012-06-06T00:00:00Z"/>
        <d v="2011-10-06T00:00:00Z"/>
        <d v="2012-05-08T00:00:00Z"/>
        <d v="2012-02-10T00:00:00Z"/>
        <d v="2011-12-12T00:00:00Z"/>
        <d v="2012-07-01T00:00:00Z"/>
        <d v="2011-10-31T00:00:00Z"/>
        <d v="2012-06-02T00:00:00Z"/>
        <d v="2011-08-07T00:00:00Z"/>
        <d v="2012-03-06T00:00:00Z"/>
        <d v="2012-01-06T00:00:00Z"/>
        <d v="2012-07-26T00:00:00Z"/>
        <d v="2011-11-25T00:00:00Z"/>
        <d v="2012-06-27T00:00:00Z"/>
        <d v="2011-09-01T00:00:00Z"/>
        <d v="2012-03-31T00:00:00Z"/>
        <d v="2012-01-31T00:00:00Z"/>
        <d v="2012-08-20T00:00:00Z"/>
        <d v="2011-12-20T00:00:00Z"/>
        <d v="2012-07-22T00:00:00Z"/>
        <d v="2011-09-26T00:00:00Z"/>
        <d v="2012-04-25T00:00:00Z"/>
        <d v="2012-02-25T00:00:00Z"/>
        <d v="2012-09-14T00:00:00Z"/>
        <d v="2012-01-14T00:00:00Z"/>
        <d v="2012-08-16T00:00:00Z"/>
        <d v="2011-10-21T00:00:00Z"/>
        <d v="2012-05-20T00:00:00Z"/>
        <d v="2012-03-21T00:00:00Z"/>
        <d v="2012-10-09T00:00:00Z"/>
        <d v="2012-02-08T00:00:00Z"/>
        <d v="2012-09-10T00:00:00Z"/>
        <d v="2011-11-15T00:00:00Z"/>
        <d v="2012-06-14T00:00:00Z"/>
        <d v="2012-04-15T00:00:00Z"/>
        <d v="2012-11-03T00:00:00Z"/>
        <d v="2012-03-04T00:00:00Z"/>
        <d v="2012-10-05T00:00:00Z"/>
        <d v="2011-12-10T00:00:00Z"/>
        <d v="2012-07-09T00:00:00Z"/>
        <d v="2012-05-10T00:00:00Z"/>
        <d v="2012-11-28T00:00:00Z"/>
        <d v="2012-03-29T00:00:00Z"/>
        <d v="2012-10-30T00:00:00Z"/>
        <d v="2012-01-04T00:00:00Z"/>
        <d v="2012-08-03T00:00:00Z"/>
        <d v="2012-06-04T00:00:00Z"/>
        <d v="2012-12-23T00:00:00Z"/>
        <d v="2012-04-23T00:00:00Z"/>
        <d v="2012-11-24T00:00:00Z"/>
        <d v="2012-08-28T00:00:00Z"/>
        <d v="2012-06-29T00:00:00Z"/>
        <d v="2012-01-17T00:00:00Z"/>
        <d v="2012-05-18T00:00:00Z"/>
        <d v="2012-12-19T00:00:00Z"/>
        <d v="2012-09-22T00:00:00Z"/>
        <d v="2012-07-24T00:00:00Z"/>
        <d v="2008-02-13T00:00:00Z"/>
        <d v="2009-10-20T00:00:00Z"/>
        <d v="2011-04-24T00:00:00Z"/>
        <d v="2011-07-12T00:00:00Z"/>
        <d v="2011-06-13T00:00:00Z"/>
        <d v="2011-03-17T00:00:00Z"/>
        <d v="2011-01-16T00:00:00Z"/>
        <d v="2011-08-06T00:00:00Z"/>
        <d v="2011-07-08T00:00:00Z"/>
        <d v="2011-04-11T00:00:00Z"/>
        <d v="2011-02-10T00:00:00Z"/>
        <d v="2011-08-31T00:00:00Z"/>
        <d v="2011-08-02T00:00:00Z"/>
        <d v="2011-05-06T00:00:00Z"/>
        <d v="2011-03-07T00:00:00Z"/>
        <d v="2011-09-25T00:00:00Z"/>
        <d v="2011-01-24T00:00:00Z"/>
        <d v="2011-08-27T00:00:00Z"/>
        <d v="2011-05-31T00:00:00Z"/>
        <d v="2011-04-01T00:00:00Z"/>
        <d v="2011-02-18T00:00:00Z"/>
        <d v="2011-09-21T00:00:00Z"/>
        <d v="2011-06-25T00:00:00Z"/>
        <d v="2011-04-26T00:00:00Z"/>
        <d v="2011-11-14T00:00:00Z"/>
        <d v="2012-01-25T00:00:00Z"/>
        <d v="2012-11-26T00:00:00Z"/>
        <d v="2012-06-16T00:00:00Z"/>
        <d v="2012-10-15T00:00:00Z"/>
        <d v="2011-05-18T00:00:00Z"/>
        <d v="2012-02-19T00:00:00Z"/>
        <d v="2012-12-21T00:00:00Z"/>
        <d v="2011-07-11T00:00:00Z"/>
        <d v="2012-11-09T00:00:00Z"/>
        <d v="2011-06-12T00:00:00Z"/>
        <d v="2011-03-16T00:00:00Z"/>
        <d v="2011-01-15T00:00:00Z"/>
        <d v="2011-08-05T00:00:00Z"/>
        <d v="2012-12-04T00:00:00Z"/>
        <d v="2011-07-07T00:00:00Z"/>
        <d v="2012-12-29T00:00:00Z"/>
        <d v="2011-08-01T00:00:00Z"/>
        <d v="2011-10-20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Bar Chart" cacheId="0" dataCaption="" compact="0" compactData="0">
  <location ref="A1:D12" firstHeaderRow="0" firstDataRow="3" firstDataCol="0"/>
  <pivotFields>
    <pivotField name="Manufacturer" axis="axisRow" compact="0" outline="0" multipleItemSelectionAllowed="1" showAll="0" sortType="ascending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8"/>
        <item h="1" x="17"/>
        <item h="1" x="16"/>
        <item h="1" x="19"/>
        <item h="1" x="20"/>
        <item h="1" x="21"/>
        <item h="1" x="22"/>
        <item h="1" x="23"/>
        <item h="1" x="24"/>
        <item h="1" x="25"/>
        <item h="1" x="26"/>
        <item x="27"/>
        <item h="1" x="28"/>
        <item h="1" x="29"/>
        <item t="default"/>
      </items>
    </pivotField>
    <pivotField name="Model" axis="axisRow" compact="0" outline="0" multipleItemSelectionAllowed="1" showAll="0" sortType="ascending">
      <items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90"/>
        <item x="152"/>
        <item x="145"/>
        <item x="22"/>
        <item x="134"/>
        <item x="43"/>
        <item x="123"/>
        <item x="122"/>
        <item x="16"/>
        <item x="18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57"/>
        <item x="49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54"/>
        <item x="117"/>
        <item x="48"/>
        <item x="132"/>
        <item x="105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98"/>
        <item x="19"/>
        <item x="101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92"/>
        <item x="64"/>
        <item x="148"/>
        <item x="150"/>
        <item x="153"/>
        <item x="86"/>
        <item x="127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name="Unit Sale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Pri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Year Resale Val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Retention %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Retention Value" compact="0" numFmtId="9" outline="0" multipleItemSelectionAllowed="1" showAll="0">
      <items>
        <item x="0"/>
        <item x="1"/>
        <item t="default"/>
      </items>
    </pivotField>
    <pivotField name="Engine 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orsepow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HP Level" compact="0" outline="0" multipleItemSelectionAllowed="1" showAll="0">
      <items>
        <item x="0"/>
        <item x="1"/>
        <item x="2"/>
        <item t="default"/>
      </items>
    </pivotField>
    <pivotField name="Vehicle_type" compact="0" outline="0" multipleItemSelectionAllowed="1" showAll="0">
      <items>
        <item x="0"/>
        <item x="1"/>
        <item t="default"/>
      </items>
    </pivotField>
    <pivotField name="Fuel Effici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ower Perf 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Wheelb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Wid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Leng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urb 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Fuel Capa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Latest Launch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</pivotFields>
  <rowFields>
    <field x="0"/>
    <field x="1"/>
  </rowFields>
  <colFields>
    <field x="-2"/>
  </colFields>
  <dataFields>
    <dataField name="SUM of Price" fld="3" baseField="0"/>
    <dataField name="SUM of Year Resale Value" fld="4" baseField="0"/>
  </dataFields>
</pivotTableDefinition>
</file>

<file path=xl/tables/table1.xml><?xml version="1.0" encoding="utf-8"?>
<table xmlns="http://schemas.openxmlformats.org/spreadsheetml/2006/main" ref="A1:S156" displayName="Table_1" name="Table_1" id="1">
  <tableColumns count="19">
    <tableColumn name="Manufacturer" id="1"/>
    <tableColumn name="Model" id="2"/>
    <tableColumn name="Unit Sales" id="3"/>
    <tableColumn name="Price" id="4"/>
    <tableColumn name="Year Resale Value" id="5"/>
    <tableColumn name="Retention %" id="6"/>
    <tableColumn name="Retention Value" id="7"/>
    <tableColumn name="Engine Size" id="8"/>
    <tableColumn name="Horsepower" id="9"/>
    <tableColumn name="HP Level" id="10"/>
    <tableColumn name="Vehicle_type" id="11"/>
    <tableColumn name="Fuel Efficiency" id="12"/>
    <tableColumn name="Power Perf Factor" id="13"/>
    <tableColumn name="Wheelbase" id="14"/>
    <tableColumn name="Width" id="15"/>
    <tableColumn name="Length" id="16"/>
    <tableColumn name="Curb Weight" id="17"/>
    <tableColumn name="Fuel Capacity" id="18"/>
    <tableColumn name="Latest Launch" id="19"/>
  </tableColumns>
  <tableStyleInfo name="Car_s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5.43"/>
    <col customWidth="1" min="3" max="3" width="20.43"/>
    <col customWidth="1" min="4" max="4" width="12.71"/>
    <col customWidth="1" min="5" max="5" width="19.43"/>
    <col customWidth="1" min="6" max="6" width="14.0"/>
    <col customWidth="1" min="7" max="7" width="17.43"/>
    <col customWidth="1" min="8" max="8" width="13.14"/>
    <col customWidth="1" min="9" max="9" width="14.0"/>
    <col customWidth="1" min="10" max="10" width="11.86"/>
    <col customWidth="1" min="11" max="11" width="14.86"/>
    <col customWidth="1" min="12" max="12" width="14.71"/>
    <col customWidth="1" min="13" max="13" width="17.86"/>
    <col customWidth="1" min="14" max="14" width="11.0"/>
    <col customWidth="1" min="15" max="15" width="6.43"/>
    <col customWidth="1" min="16" max="16" width="7.0"/>
    <col customWidth="1" min="17" max="17" width="12.29"/>
    <col customWidth="1" min="18" max="18" width="13.14"/>
    <col customWidth="1" min="19" max="19" width="13.43"/>
    <col customWidth="1" min="20" max="22" width="8.86"/>
    <col customWidth="1" min="23" max="23" width="11.29"/>
    <col customWidth="1" min="24" max="24" width="7.43"/>
    <col customWidth="1" min="25" max="25" width="11.43"/>
    <col customWidth="1" min="26" max="26" width="7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3"/>
      <c r="V1" s="3"/>
      <c r="W1" s="3"/>
      <c r="X1" s="3"/>
      <c r="Y1" s="3"/>
      <c r="Z1" s="3"/>
    </row>
    <row r="2">
      <c r="A2" s="4" t="s">
        <v>19</v>
      </c>
      <c r="B2" s="5" t="s">
        <v>20</v>
      </c>
      <c r="C2" s="6">
        <v>16919.0</v>
      </c>
      <c r="D2" s="7">
        <v>21500.0</v>
      </c>
      <c r="E2" s="7">
        <v>16360.0</v>
      </c>
      <c r="F2" s="8">
        <f t="shared" ref="F2:F156" si="1">SUM(E2/D2)</f>
        <v>0.7609302326</v>
      </c>
      <c r="G2" s="8" t="str">
        <f t="shared" ref="G2:G156" si="2">IF(F2&gt;69%, "GOOD", "POOR")</f>
        <v>GOOD</v>
      </c>
      <c r="H2" s="9">
        <v>1.8</v>
      </c>
      <c r="I2" s="9">
        <v>140.0</v>
      </c>
      <c r="J2" s="9" t="str">
        <f t="array" ref="J2">IFS(I2&gt;299,"High HP",I2&gt;99,"Medium HP",I2&lt;100,"Low HP")</f>
        <v>Medium HP</v>
      </c>
      <c r="K2" s="9" t="s">
        <v>21</v>
      </c>
      <c r="L2" s="9">
        <v>28.0</v>
      </c>
      <c r="M2" s="9">
        <v>58.28014952</v>
      </c>
      <c r="N2" s="9">
        <v>101.2</v>
      </c>
      <c r="O2" s="9">
        <v>67.3</v>
      </c>
      <c r="P2" s="9">
        <v>172.4</v>
      </c>
      <c r="Q2" s="9">
        <v>2.639</v>
      </c>
      <c r="R2" s="9">
        <v>13.2</v>
      </c>
      <c r="S2" s="10">
        <v>40941.0</v>
      </c>
    </row>
    <row r="3">
      <c r="A3" s="4" t="s">
        <v>19</v>
      </c>
      <c r="B3" s="5" t="s">
        <v>22</v>
      </c>
      <c r="C3" s="6">
        <v>39384.0</v>
      </c>
      <c r="D3" s="7">
        <v>28400.0</v>
      </c>
      <c r="E3" s="7">
        <v>19875.0</v>
      </c>
      <c r="F3" s="8">
        <f t="shared" si="1"/>
        <v>0.6998239437</v>
      </c>
      <c r="G3" s="8" t="str">
        <f t="shared" si="2"/>
        <v>GOOD</v>
      </c>
      <c r="H3" s="9">
        <v>3.2</v>
      </c>
      <c r="I3" s="9">
        <v>225.0</v>
      </c>
      <c r="J3" s="9" t="str">
        <f t="array" ref="J3">IFS(I3&gt;299,"High HP",I3&gt;99,"Medium HP",I3&lt;100,"Low HP")</f>
        <v>Medium HP</v>
      </c>
      <c r="K3" s="9" t="s">
        <v>21</v>
      </c>
      <c r="L3" s="9">
        <v>25.0</v>
      </c>
      <c r="M3" s="9">
        <v>91.37077766</v>
      </c>
      <c r="N3" s="9">
        <v>108.1</v>
      </c>
      <c r="O3" s="9">
        <v>70.3</v>
      </c>
      <c r="P3" s="9">
        <v>192.9</v>
      </c>
      <c r="Q3" s="9">
        <v>3.517</v>
      </c>
      <c r="R3" s="9">
        <v>17.2</v>
      </c>
      <c r="S3" s="10">
        <v>40697.0</v>
      </c>
    </row>
    <row r="4">
      <c r="A4" s="4" t="s">
        <v>19</v>
      </c>
      <c r="B4" s="5" t="s">
        <v>23</v>
      </c>
      <c r="C4" s="6">
        <v>8588.0</v>
      </c>
      <c r="D4" s="7">
        <v>42000.0</v>
      </c>
      <c r="E4" s="7">
        <v>29725.0</v>
      </c>
      <c r="F4" s="8">
        <f t="shared" si="1"/>
        <v>0.7077380952</v>
      </c>
      <c r="G4" s="8" t="str">
        <f t="shared" si="2"/>
        <v>GOOD</v>
      </c>
      <c r="H4" s="9">
        <v>3.5</v>
      </c>
      <c r="I4" s="9">
        <v>210.0</v>
      </c>
      <c r="J4" s="9" t="str">
        <f t="array" ref="J4">IFS(I4&gt;299,"High HP",I4&gt;99,"Medium HP",I4&lt;100,"Low HP")</f>
        <v>Medium HP</v>
      </c>
      <c r="K4" s="9" t="s">
        <v>21</v>
      </c>
      <c r="L4" s="9">
        <v>22.0</v>
      </c>
      <c r="M4" s="9">
        <v>91.38977933</v>
      </c>
      <c r="N4" s="9">
        <v>114.6</v>
      </c>
      <c r="O4" s="9">
        <v>71.4</v>
      </c>
      <c r="P4" s="9">
        <v>196.6</v>
      </c>
      <c r="Q4" s="9">
        <v>3.85</v>
      </c>
      <c r="R4" s="9">
        <v>18.0</v>
      </c>
      <c r="S4" s="10">
        <v>40612.0</v>
      </c>
    </row>
    <row r="5">
      <c r="A5" s="4" t="s">
        <v>24</v>
      </c>
      <c r="B5" s="5" t="s">
        <v>25</v>
      </c>
      <c r="C5" s="6">
        <v>20397.0</v>
      </c>
      <c r="D5" s="7">
        <v>23990.0</v>
      </c>
      <c r="E5" s="7">
        <v>22255.0</v>
      </c>
      <c r="F5" s="8">
        <f t="shared" si="1"/>
        <v>0.9276781992</v>
      </c>
      <c r="G5" s="8" t="str">
        <f t="shared" si="2"/>
        <v>GOOD</v>
      </c>
      <c r="H5" s="9">
        <v>1.8</v>
      </c>
      <c r="I5" s="9">
        <v>150.0</v>
      </c>
      <c r="J5" s="9" t="str">
        <f t="array" ref="J5">IFS(I5&gt;299,"High HP",I5&gt;99,"Medium HP",I5&lt;100,"Low HP")</f>
        <v>Medium HP</v>
      </c>
      <c r="K5" s="9" t="s">
        <v>21</v>
      </c>
      <c r="L5" s="9">
        <v>27.0</v>
      </c>
      <c r="M5" s="9">
        <v>62.7776392</v>
      </c>
      <c r="N5" s="9">
        <v>102.6</v>
      </c>
      <c r="O5" s="9">
        <v>68.2</v>
      </c>
      <c r="P5" s="9">
        <v>178.0</v>
      </c>
      <c r="Q5" s="9">
        <v>2.998</v>
      </c>
      <c r="R5" s="9">
        <v>16.4</v>
      </c>
      <c r="S5" s="10">
        <v>40824.0</v>
      </c>
      <c r="U5" s="3"/>
      <c r="W5" s="11"/>
    </row>
    <row r="6">
      <c r="A6" s="4" t="s">
        <v>24</v>
      </c>
      <c r="B6" s="5" t="s">
        <v>26</v>
      </c>
      <c r="C6" s="6">
        <v>18780.0</v>
      </c>
      <c r="D6" s="7">
        <v>33950.0</v>
      </c>
      <c r="E6" s="7">
        <v>23555.0</v>
      </c>
      <c r="F6" s="8">
        <f t="shared" si="1"/>
        <v>0.693814433</v>
      </c>
      <c r="G6" s="8" t="str">
        <f t="shared" si="2"/>
        <v>GOOD</v>
      </c>
      <c r="H6" s="9">
        <v>2.8</v>
      </c>
      <c r="I6" s="9">
        <v>200.0</v>
      </c>
      <c r="J6" s="9" t="str">
        <f t="array" ref="J6">IFS(I6&gt;299,"High HP",I6&gt;99,"Medium HP",I6&lt;100,"Low HP")</f>
        <v>Medium HP</v>
      </c>
      <c r="K6" s="9" t="s">
        <v>21</v>
      </c>
      <c r="L6" s="9">
        <v>22.0</v>
      </c>
      <c r="M6" s="9">
        <v>84.56510502</v>
      </c>
      <c r="N6" s="9">
        <v>108.7</v>
      </c>
      <c r="O6" s="9">
        <v>76.1</v>
      </c>
      <c r="P6" s="9">
        <v>192.0</v>
      </c>
      <c r="Q6" s="9">
        <v>3.561</v>
      </c>
      <c r="R6" s="9">
        <v>18.5</v>
      </c>
      <c r="S6" s="10">
        <v>40764.0</v>
      </c>
      <c r="W6" s="11"/>
    </row>
    <row r="7">
      <c r="A7" s="4" t="s">
        <v>24</v>
      </c>
      <c r="B7" s="5" t="s">
        <v>27</v>
      </c>
      <c r="C7" s="6">
        <v>1380.0</v>
      </c>
      <c r="D7" s="7">
        <v>62000.0</v>
      </c>
      <c r="E7" s="7">
        <v>39000.0</v>
      </c>
      <c r="F7" s="8">
        <f t="shared" si="1"/>
        <v>0.6290322581</v>
      </c>
      <c r="G7" s="8" t="str">
        <f t="shared" si="2"/>
        <v>POOR</v>
      </c>
      <c r="H7" s="9">
        <v>4.2</v>
      </c>
      <c r="I7" s="9">
        <v>310.0</v>
      </c>
      <c r="J7" s="9" t="str">
        <f t="array" ref="J7">IFS(I7&gt;299,"High HP",I7&gt;99,"Medium HP",I7&lt;100,"Low HP")</f>
        <v>High HP</v>
      </c>
      <c r="K7" s="9" t="s">
        <v>21</v>
      </c>
      <c r="L7" s="9">
        <v>21.0</v>
      </c>
      <c r="M7" s="9">
        <v>134.6568582</v>
      </c>
      <c r="N7" s="9">
        <v>113.0</v>
      </c>
      <c r="O7" s="9">
        <v>74.0</v>
      </c>
      <c r="P7" s="9">
        <v>198.2</v>
      </c>
      <c r="Q7" s="9">
        <v>3.902</v>
      </c>
      <c r="R7" s="9">
        <v>23.7</v>
      </c>
      <c r="S7" s="10">
        <v>40966.0</v>
      </c>
      <c r="W7" s="11"/>
    </row>
    <row r="8">
      <c r="A8" s="4" t="s">
        <v>28</v>
      </c>
      <c r="B8" s="5" t="s">
        <v>29</v>
      </c>
      <c r="C8" s="6">
        <v>19747.0</v>
      </c>
      <c r="D8" s="7">
        <v>26990.0</v>
      </c>
      <c r="E8" s="7">
        <v>24500.0</v>
      </c>
      <c r="F8" s="8">
        <f t="shared" si="1"/>
        <v>0.9077436087</v>
      </c>
      <c r="G8" s="8" t="str">
        <f t="shared" si="2"/>
        <v>GOOD</v>
      </c>
      <c r="H8" s="9">
        <v>2.5</v>
      </c>
      <c r="I8" s="9">
        <v>170.0</v>
      </c>
      <c r="J8" s="9" t="str">
        <f t="array" ref="J8">IFS(I8&gt;299,"High HP",I8&gt;99,"Medium HP",I8&lt;100,"Low HP")</f>
        <v>Medium HP</v>
      </c>
      <c r="K8" s="9" t="s">
        <v>21</v>
      </c>
      <c r="L8" s="9">
        <v>26.0</v>
      </c>
      <c r="M8" s="9">
        <v>71.19120671</v>
      </c>
      <c r="N8" s="9">
        <v>107.3</v>
      </c>
      <c r="O8" s="9">
        <v>68.4</v>
      </c>
      <c r="P8" s="9">
        <v>176.0</v>
      </c>
      <c r="Q8" s="9">
        <v>3.179</v>
      </c>
      <c r="R8" s="9">
        <v>16.6</v>
      </c>
      <c r="S8" s="10">
        <v>40722.0</v>
      </c>
      <c r="W8" s="11"/>
    </row>
    <row r="9">
      <c r="A9" s="4" t="s">
        <v>28</v>
      </c>
      <c r="B9" s="5" t="s">
        <v>30</v>
      </c>
      <c r="C9" s="6">
        <v>9231.0</v>
      </c>
      <c r="D9" s="7">
        <v>33400.0</v>
      </c>
      <c r="E9" s="7">
        <v>28675.0</v>
      </c>
      <c r="F9" s="8">
        <f t="shared" si="1"/>
        <v>0.8585329341</v>
      </c>
      <c r="G9" s="8" t="str">
        <f t="shared" si="2"/>
        <v>GOOD</v>
      </c>
      <c r="H9" s="9">
        <v>2.8</v>
      </c>
      <c r="I9" s="9">
        <v>193.0</v>
      </c>
      <c r="J9" s="9" t="str">
        <f t="array" ref="J9">IFS(I9&gt;299,"High HP",I9&gt;99,"Medium HP",I9&lt;100,"Low HP")</f>
        <v>Medium HP</v>
      </c>
      <c r="K9" s="9" t="s">
        <v>21</v>
      </c>
      <c r="L9" s="9">
        <v>24.0</v>
      </c>
      <c r="M9" s="9">
        <v>81.87706856</v>
      </c>
      <c r="N9" s="9">
        <v>107.3</v>
      </c>
      <c r="O9" s="9">
        <v>68.5</v>
      </c>
      <c r="P9" s="9">
        <v>176.0</v>
      </c>
      <c r="Q9" s="9">
        <v>3.197</v>
      </c>
      <c r="R9" s="9">
        <v>16.6</v>
      </c>
      <c r="S9" s="10">
        <v>40937.0</v>
      </c>
      <c r="W9" s="11"/>
    </row>
    <row r="10">
      <c r="A10" s="4" t="s">
        <v>28</v>
      </c>
      <c r="B10" s="5" t="s">
        <v>31</v>
      </c>
      <c r="C10" s="6">
        <v>17527.0</v>
      </c>
      <c r="D10" s="7">
        <v>38900.0</v>
      </c>
      <c r="E10" s="7">
        <v>36125.0</v>
      </c>
      <c r="F10" s="8">
        <f t="shared" si="1"/>
        <v>0.9286632391</v>
      </c>
      <c r="G10" s="8" t="str">
        <f t="shared" si="2"/>
        <v>GOOD</v>
      </c>
      <c r="H10" s="9">
        <v>2.8</v>
      </c>
      <c r="I10" s="9">
        <v>193.0</v>
      </c>
      <c r="J10" s="9" t="str">
        <f t="array" ref="J10">IFS(I10&gt;299,"High HP",I10&gt;99,"Medium HP",I10&lt;100,"Low HP")</f>
        <v>Medium HP</v>
      </c>
      <c r="K10" s="9" t="s">
        <v>21</v>
      </c>
      <c r="L10" s="9">
        <v>25.0</v>
      </c>
      <c r="M10" s="9">
        <v>83.9987238</v>
      </c>
      <c r="N10" s="9">
        <v>111.4</v>
      </c>
      <c r="O10" s="9">
        <v>70.9</v>
      </c>
      <c r="P10" s="9">
        <v>188.0</v>
      </c>
      <c r="Q10" s="9">
        <v>3.472</v>
      </c>
      <c r="R10" s="9">
        <v>18.5</v>
      </c>
      <c r="S10" s="10">
        <v>40637.0</v>
      </c>
      <c r="W10" s="11"/>
    </row>
    <row r="11">
      <c r="A11" s="4" t="s">
        <v>32</v>
      </c>
      <c r="B11" s="5" t="s">
        <v>33</v>
      </c>
      <c r="C11" s="6">
        <v>91561.0</v>
      </c>
      <c r="D11" s="7">
        <v>21975.0</v>
      </c>
      <c r="E11" s="7">
        <v>12475.0</v>
      </c>
      <c r="F11" s="8">
        <f t="shared" si="1"/>
        <v>0.5676905575</v>
      </c>
      <c r="G11" s="8" t="str">
        <f t="shared" si="2"/>
        <v>POOR</v>
      </c>
      <c r="H11" s="9">
        <v>3.1</v>
      </c>
      <c r="I11" s="9">
        <v>175.0</v>
      </c>
      <c r="J11" s="9" t="str">
        <f t="array" ref="J11">IFS(I11&gt;299,"High HP",I11&gt;99,"Medium HP",I11&lt;100,"Low HP")</f>
        <v>Medium HP</v>
      </c>
      <c r="K11" s="9" t="s">
        <v>21</v>
      </c>
      <c r="L11" s="9">
        <v>25.0</v>
      </c>
      <c r="M11" s="9">
        <v>71.18145132</v>
      </c>
      <c r="N11" s="9">
        <v>109.0</v>
      </c>
      <c r="O11" s="9">
        <v>72.7</v>
      </c>
      <c r="P11" s="9">
        <v>194.6</v>
      </c>
      <c r="Q11" s="9">
        <v>3.368</v>
      </c>
      <c r="R11" s="9">
        <v>17.5</v>
      </c>
      <c r="S11" s="10">
        <v>40849.0</v>
      </c>
      <c r="W11" s="11"/>
    </row>
    <row r="12">
      <c r="A12" s="4" t="s">
        <v>32</v>
      </c>
      <c r="B12" s="5" t="s">
        <v>34</v>
      </c>
      <c r="C12" s="6">
        <v>39350.0</v>
      </c>
      <c r="D12" s="7">
        <v>25300.0</v>
      </c>
      <c r="E12" s="7">
        <v>13740.0</v>
      </c>
      <c r="F12" s="8">
        <f t="shared" si="1"/>
        <v>0.543083004</v>
      </c>
      <c r="G12" s="8" t="str">
        <f t="shared" si="2"/>
        <v>POOR</v>
      </c>
      <c r="H12" s="9">
        <v>3.8</v>
      </c>
      <c r="I12" s="9">
        <v>240.0</v>
      </c>
      <c r="J12" s="9" t="str">
        <f t="array" ref="J12">IFS(I12&gt;299,"High HP",I12&gt;99,"Medium HP",I12&lt;100,"Low HP")</f>
        <v>Medium HP</v>
      </c>
      <c r="K12" s="9" t="s">
        <v>21</v>
      </c>
      <c r="L12" s="9">
        <v>23.0</v>
      </c>
      <c r="M12" s="9">
        <v>95.63670253</v>
      </c>
      <c r="N12" s="9">
        <v>109.0</v>
      </c>
      <c r="O12" s="9">
        <v>72.7</v>
      </c>
      <c r="P12" s="9">
        <v>196.2</v>
      </c>
      <c r="Q12" s="9">
        <v>3.543</v>
      </c>
      <c r="R12" s="9">
        <v>17.5</v>
      </c>
      <c r="S12" s="10">
        <v>40789.0</v>
      </c>
      <c r="W12" s="11"/>
    </row>
    <row r="13">
      <c r="A13" s="4" t="s">
        <v>32</v>
      </c>
      <c r="B13" s="5" t="s">
        <v>35</v>
      </c>
      <c r="C13" s="6">
        <v>27851.0</v>
      </c>
      <c r="D13" s="7">
        <v>31965.0</v>
      </c>
      <c r="E13" s="7">
        <v>20190.0</v>
      </c>
      <c r="F13" s="8">
        <f t="shared" si="1"/>
        <v>0.6316283435</v>
      </c>
      <c r="G13" s="8" t="str">
        <f t="shared" si="2"/>
        <v>POOR</v>
      </c>
      <c r="H13" s="9">
        <v>3.8</v>
      </c>
      <c r="I13" s="9">
        <v>205.0</v>
      </c>
      <c r="J13" s="9" t="str">
        <f t="array" ref="J13">IFS(I13&gt;299,"High HP",I13&gt;99,"Medium HP",I13&lt;100,"Low HP")</f>
        <v>Medium HP</v>
      </c>
      <c r="K13" s="9" t="s">
        <v>21</v>
      </c>
      <c r="L13" s="9">
        <v>24.0</v>
      </c>
      <c r="M13" s="9">
        <v>85.82840825</v>
      </c>
      <c r="N13" s="9">
        <v>113.8</v>
      </c>
      <c r="O13" s="9">
        <v>74.7</v>
      </c>
      <c r="P13" s="9">
        <v>206.8</v>
      </c>
      <c r="Q13" s="9">
        <v>3.778</v>
      </c>
      <c r="R13" s="9">
        <v>18.5</v>
      </c>
      <c r="S13" s="10">
        <v>40991.0</v>
      </c>
      <c r="W13" s="11"/>
    </row>
    <row r="14">
      <c r="A14" s="4" t="s">
        <v>32</v>
      </c>
      <c r="B14" s="5" t="s">
        <v>36</v>
      </c>
      <c r="C14" s="6">
        <v>83257.0</v>
      </c>
      <c r="D14" s="7">
        <v>27885.0</v>
      </c>
      <c r="E14" s="7">
        <v>13360.0</v>
      </c>
      <c r="F14" s="8">
        <f t="shared" si="1"/>
        <v>0.479110633</v>
      </c>
      <c r="G14" s="8" t="str">
        <f t="shared" si="2"/>
        <v>POOR</v>
      </c>
      <c r="H14" s="9">
        <v>3.8</v>
      </c>
      <c r="I14" s="9">
        <v>205.0</v>
      </c>
      <c r="J14" s="9" t="str">
        <f t="array" ref="J14">IFS(I14&gt;299,"High HP",I14&gt;99,"Medium HP",I14&lt;100,"Low HP")</f>
        <v>Medium HP</v>
      </c>
      <c r="K14" s="9" t="s">
        <v>21</v>
      </c>
      <c r="L14" s="9">
        <v>25.0</v>
      </c>
      <c r="M14" s="9">
        <v>84.25452581</v>
      </c>
      <c r="N14" s="9">
        <v>112.2</v>
      </c>
      <c r="O14" s="9">
        <v>73.5</v>
      </c>
      <c r="P14" s="9">
        <v>200.0</v>
      </c>
      <c r="Q14" s="9">
        <v>3.591</v>
      </c>
      <c r="R14" s="9">
        <v>17.5</v>
      </c>
      <c r="S14" s="10">
        <v>40747.0</v>
      </c>
    </row>
    <row r="15">
      <c r="A15" s="4" t="s">
        <v>37</v>
      </c>
      <c r="B15" s="5" t="s">
        <v>38</v>
      </c>
      <c r="C15" s="6">
        <v>63729.0</v>
      </c>
      <c r="D15" s="7">
        <v>39895.0</v>
      </c>
      <c r="E15" s="7">
        <v>22525.0</v>
      </c>
      <c r="F15" s="8">
        <f t="shared" si="1"/>
        <v>0.5646070936</v>
      </c>
      <c r="G15" s="8" t="str">
        <f t="shared" si="2"/>
        <v>POOR</v>
      </c>
      <c r="H15" s="9">
        <v>4.6</v>
      </c>
      <c r="I15" s="9">
        <v>275.0</v>
      </c>
      <c r="J15" s="9" t="str">
        <f t="array" ref="J15">IFS(I15&gt;299,"High HP",I15&gt;99,"Medium HP",I15&lt;100,"Low HP")</f>
        <v>Medium HP</v>
      </c>
      <c r="K15" s="9" t="s">
        <v>21</v>
      </c>
      <c r="L15" s="9">
        <v>22.0</v>
      </c>
      <c r="M15" s="9">
        <v>113.8545976</v>
      </c>
      <c r="N15" s="9">
        <v>115.3</v>
      </c>
      <c r="O15" s="9">
        <v>74.5</v>
      </c>
      <c r="P15" s="9">
        <v>207.2</v>
      </c>
      <c r="Q15" s="9">
        <v>3.978</v>
      </c>
      <c r="R15" s="9">
        <v>18.5</v>
      </c>
      <c r="S15" s="10">
        <v>40962.0</v>
      </c>
    </row>
    <row r="16">
      <c r="A16" s="4" t="s">
        <v>37</v>
      </c>
      <c r="B16" s="5" t="s">
        <v>39</v>
      </c>
      <c r="C16" s="6">
        <v>15943.0</v>
      </c>
      <c r="D16" s="7">
        <v>44475.0</v>
      </c>
      <c r="E16" s="7">
        <v>27100.0</v>
      </c>
      <c r="F16" s="8">
        <f t="shared" si="1"/>
        <v>0.6093310849</v>
      </c>
      <c r="G16" s="8" t="str">
        <f t="shared" si="2"/>
        <v>POOR</v>
      </c>
      <c r="H16" s="9">
        <v>4.6</v>
      </c>
      <c r="I16" s="9">
        <v>275.0</v>
      </c>
      <c r="J16" s="9" t="str">
        <f t="array" ref="J16">IFS(I16&gt;299,"High HP",I16&gt;99,"Medium HP",I16&lt;100,"Low HP")</f>
        <v>Medium HP</v>
      </c>
      <c r="K16" s="9" t="s">
        <v>21</v>
      </c>
      <c r="L16" s="9">
        <v>22.0</v>
      </c>
      <c r="M16" s="9">
        <v>115.6213578</v>
      </c>
      <c r="N16" s="9">
        <v>112.2</v>
      </c>
      <c r="O16" s="9">
        <v>75.0</v>
      </c>
      <c r="P16" s="9">
        <v>201.0</v>
      </c>
      <c r="Q16" s="9">
        <v>3.875</v>
      </c>
      <c r="R16" s="9">
        <v>18.5</v>
      </c>
      <c r="S16" s="10">
        <v>40662.0</v>
      </c>
      <c r="V16" s="11"/>
    </row>
    <row r="17">
      <c r="A17" s="4" t="s">
        <v>37</v>
      </c>
      <c r="B17" s="5" t="s">
        <v>40</v>
      </c>
      <c r="C17" s="6">
        <v>6536.0</v>
      </c>
      <c r="D17" s="7">
        <v>39665.0</v>
      </c>
      <c r="E17" s="7">
        <v>25725.0</v>
      </c>
      <c r="F17" s="8">
        <f t="shared" si="1"/>
        <v>0.648556662</v>
      </c>
      <c r="G17" s="8" t="str">
        <f t="shared" si="2"/>
        <v>POOR</v>
      </c>
      <c r="H17" s="9">
        <v>4.6</v>
      </c>
      <c r="I17" s="9">
        <v>275.0</v>
      </c>
      <c r="J17" s="9" t="str">
        <f t="array" ref="J17">IFS(I17&gt;299,"High HP",I17&gt;99,"Medium HP",I17&lt;100,"Low HP")</f>
        <v>Medium HP</v>
      </c>
      <c r="K17" s="9" t="s">
        <v>21</v>
      </c>
      <c r="L17" s="9">
        <v>22.0</v>
      </c>
      <c r="M17" s="9">
        <v>113.7658739</v>
      </c>
      <c r="N17" s="9">
        <v>108.0</v>
      </c>
      <c r="O17" s="9">
        <v>75.5</v>
      </c>
      <c r="P17" s="9">
        <v>200.6</v>
      </c>
      <c r="Q17" s="9">
        <v>3.843</v>
      </c>
      <c r="R17" s="9">
        <v>19.0</v>
      </c>
      <c r="S17" s="10">
        <v>40874.0</v>
      </c>
    </row>
    <row r="18">
      <c r="A18" s="4" t="s">
        <v>37</v>
      </c>
      <c r="B18" s="5" t="s">
        <v>41</v>
      </c>
      <c r="C18" s="6">
        <v>11185.0</v>
      </c>
      <c r="D18" s="7">
        <v>31010.0</v>
      </c>
      <c r="E18" s="7">
        <v>18225.0</v>
      </c>
      <c r="F18" s="8">
        <f t="shared" si="1"/>
        <v>0.5877136408</v>
      </c>
      <c r="G18" s="8" t="str">
        <f t="shared" si="2"/>
        <v>POOR</v>
      </c>
      <c r="H18" s="9">
        <v>3.0</v>
      </c>
      <c r="I18" s="9">
        <v>200.0</v>
      </c>
      <c r="J18" s="9" t="str">
        <f t="array" ref="J18">IFS(I18&gt;299,"High HP",I18&gt;99,"Medium HP",I18&lt;100,"Low HP")</f>
        <v>Medium HP</v>
      </c>
      <c r="K18" s="9" t="s">
        <v>21</v>
      </c>
      <c r="L18" s="9">
        <v>22.0</v>
      </c>
      <c r="M18" s="9">
        <v>83.48309358</v>
      </c>
      <c r="N18" s="9">
        <v>107.4</v>
      </c>
      <c r="O18" s="9">
        <v>70.3</v>
      </c>
      <c r="P18" s="9">
        <v>194.8</v>
      </c>
      <c r="Q18" s="9">
        <v>3.77</v>
      </c>
      <c r="R18" s="9">
        <v>18.0</v>
      </c>
      <c r="S18" s="10">
        <v>40814.0</v>
      </c>
    </row>
    <row r="19">
      <c r="A19" s="4" t="s">
        <v>37</v>
      </c>
      <c r="B19" s="5" t="s">
        <v>42</v>
      </c>
      <c r="C19" s="6">
        <v>14785.0</v>
      </c>
      <c r="D19" s="7">
        <v>46225.0</v>
      </c>
      <c r="E19" s="7">
        <v>31245.0</v>
      </c>
      <c r="F19" s="8">
        <f t="shared" si="1"/>
        <v>0.6759329367</v>
      </c>
      <c r="G19" s="8" t="str">
        <f t="shared" si="2"/>
        <v>POOR</v>
      </c>
      <c r="H19" s="9">
        <v>5.7</v>
      </c>
      <c r="I19" s="9">
        <v>255.0</v>
      </c>
      <c r="J19" s="9" t="str">
        <f t="array" ref="J19">IFS(I19&gt;299,"High HP",I19&gt;99,"Medium HP",I19&lt;100,"Low HP")</f>
        <v>Medium HP</v>
      </c>
      <c r="K19" s="9" t="s">
        <v>43</v>
      </c>
      <c r="L19" s="9">
        <v>15.0</v>
      </c>
      <c r="M19" s="9">
        <v>109.5091165</v>
      </c>
      <c r="N19" s="9">
        <v>117.5</v>
      </c>
      <c r="O19" s="9">
        <v>77.0</v>
      </c>
      <c r="P19" s="9">
        <v>201.2</v>
      </c>
      <c r="Q19" s="9">
        <v>5.572</v>
      </c>
      <c r="R19" s="9">
        <v>30.0</v>
      </c>
      <c r="S19" s="10">
        <v>41016.0</v>
      </c>
    </row>
    <row r="20">
      <c r="A20" s="4" t="s">
        <v>44</v>
      </c>
      <c r="B20" s="5" t="s">
        <v>45</v>
      </c>
      <c r="C20" s="6">
        <v>145519.0</v>
      </c>
      <c r="D20" s="7">
        <v>13260.0</v>
      </c>
      <c r="E20" s="7">
        <v>9250.0</v>
      </c>
      <c r="F20" s="8">
        <f t="shared" si="1"/>
        <v>0.697586727</v>
      </c>
      <c r="G20" s="8" t="str">
        <f t="shared" si="2"/>
        <v>GOOD</v>
      </c>
      <c r="H20" s="9">
        <v>2.2</v>
      </c>
      <c r="I20" s="9">
        <v>115.0</v>
      </c>
      <c r="J20" s="9" t="str">
        <f t="array" ref="J20">IFS(I20&gt;299,"High HP",I20&gt;99,"Medium HP",I20&lt;100,"Low HP")</f>
        <v>Medium HP</v>
      </c>
      <c r="K20" s="9" t="s">
        <v>21</v>
      </c>
      <c r="L20" s="9">
        <v>27.0</v>
      </c>
      <c r="M20" s="9">
        <v>46.36334747</v>
      </c>
      <c r="N20" s="9">
        <v>104.1</v>
      </c>
      <c r="O20" s="9">
        <v>67.9</v>
      </c>
      <c r="P20" s="9">
        <v>180.9</v>
      </c>
      <c r="Q20" s="9">
        <v>2.676</v>
      </c>
      <c r="R20" s="9">
        <v>14.3</v>
      </c>
      <c r="S20" s="10">
        <v>40772.0</v>
      </c>
    </row>
    <row r="21" ht="15.75" customHeight="1">
      <c r="A21" s="4" t="s">
        <v>44</v>
      </c>
      <c r="B21" s="5" t="s">
        <v>46</v>
      </c>
      <c r="C21" s="6">
        <v>135126.0</v>
      </c>
      <c r="D21" s="7">
        <v>16535.0</v>
      </c>
      <c r="E21" s="7">
        <v>11225.0</v>
      </c>
      <c r="F21" s="8">
        <f t="shared" si="1"/>
        <v>0.6788630178</v>
      </c>
      <c r="G21" s="8" t="str">
        <f t="shared" si="2"/>
        <v>POOR</v>
      </c>
      <c r="H21" s="9">
        <v>3.1</v>
      </c>
      <c r="I21" s="9">
        <v>170.0</v>
      </c>
      <c r="J21" s="9" t="str">
        <f t="array" ref="J21">IFS(I21&gt;299,"High HP",I21&gt;99,"Medium HP",I21&lt;100,"Low HP")</f>
        <v>Medium HP</v>
      </c>
      <c r="K21" s="9" t="s">
        <v>21</v>
      </c>
      <c r="L21" s="9">
        <v>25.0</v>
      </c>
      <c r="M21" s="9">
        <v>67.31446216</v>
      </c>
      <c r="N21" s="9">
        <v>107.0</v>
      </c>
      <c r="O21" s="9">
        <v>69.4</v>
      </c>
      <c r="P21" s="9">
        <v>190.4</v>
      </c>
      <c r="Q21" s="9">
        <v>3.051</v>
      </c>
      <c r="R21" s="9">
        <v>15.0</v>
      </c>
      <c r="S21" s="10">
        <v>40987.0</v>
      </c>
      <c r="V21" s="3"/>
      <c r="W21" s="3"/>
      <c r="X21" s="12"/>
      <c r="Y21" s="12"/>
      <c r="Z21" s="12"/>
    </row>
    <row r="22" ht="15.75" customHeight="1">
      <c r="A22" s="4" t="s">
        <v>44</v>
      </c>
      <c r="B22" s="5" t="s">
        <v>47</v>
      </c>
      <c r="C22" s="6">
        <v>24629.0</v>
      </c>
      <c r="D22" s="7">
        <v>18890.0</v>
      </c>
      <c r="E22" s="7">
        <v>10310.0</v>
      </c>
      <c r="F22" s="8">
        <f t="shared" si="1"/>
        <v>0.545791424</v>
      </c>
      <c r="G22" s="8" t="str">
        <f t="shared" si="2"/>
        <v>POOR</v>
      </c>
      <c r="H22" s="9">
        <v>3.1</v>
      </c>
      <c r="I22" s="9">
        <v>175.0</v>
      </c>
      <c r="J22" s="9" t="str">
        <f t="array" ref="J22">IFS(I22&gt;299,"High HP",I22&gt;99,"Medium HP",I22&lt;100,"Low HP")</f>
        <v>Medium HP</v>
      </c>
      <c r="K22" s="9" t="s">
        <v>21</v>
      </c>
      <c r="L22" s="9">
        <v>25.0</v>
      </c>
      <c r="M22" s="9">
        <v>69.9913956</v>
      </c>
      <c r="N22" s="9">
        <v>107.5</v>
      </c>
      <c r="O22" s="9">
        <v>72.5</v>
      </c>
      <c r="P22" s="9">
        <v>200.9</v>
      </c>
      <c r="Q22" s="9">
        <v>3.33</v>
      </c>
      <c r="R22" s="9">
        <v>16.6</v>
      </c>
      <c r="S22" s="10">
        <v>40687.0</v>
      </c>
      <c r="X22" s="13"/>
      <c r="Y22" s="13"/>
      <c r="Z22" s="13"/>
    </row>
    <row r="23" ht="15.75" customHeight="1">
      <c r="A23" s="4" t="s">
        <v>44</v>
      </c>
      <c r="B23" s="5" t="s">
        <v>48</v>
      </c>
      <c r="C23" s="6">
        <v>42593.0</v>
      </c>
      <c r="D23" s="7">
        <v>19390.0</v>
      </c>
      <c r="E23" s="7">
        <v>11525.0</v>
      </c>
      <c r="F23" s="8">
        <f t="shared" si="1"/>
        <v>0.5943785456</v>
      </c>
      <c r="G23" s="8" t="str">
        <f t="shared" si="2"/>
        <v>POOR</v>
      </c>
      <c r="H23" s="9">
        <v>3.4</v>
      </c>
      <c r="I23" s="9">
        <v>180.0</v>
      </c>
      <c r="J23" s="9" t="str">
        <f t="array" ref="J23">IFS(I23&gt;299,"High HP",I23&gt;99,"Medium HP",I23&lt;100,"Low HP")</f>
        <v>Medium HP</v>
      </c>
      <c r="K23" s="9" t="s">
        <v>21</v>
      </c>
      <c r="L23" s="9">
        <v>27.0</v>
      </c>
      <c r="M23" s="9">
        <v>72.03091719</v>
      </c>
      <c r="N23" s="9">
        <v>110.5</v>
      </c>
      <c r="O23" s="9">
        <v>72.7</v>
      </c>
      <c r="P23" s="9">
        <v>197.9</v>
      </c>
      <c r="Q23" s="9">
        <v>3.34</v>
      </c>
      <c r="R23" s="9">
        <v>17.0</v>
      </c>
      <c r="S23" s="10">
        <v>40899.0</v>
      </c>
    </row>
    <row r="24" ht="15.75" customHeight="1">
      <c r="A24" s="4" t="s">
        <v>44</v>
      </c>
      <c r="B24" s="5" t="s">
        <v>49</v>
      </c>
      <c r="C24" s="6">
        <v>26402.0</v>
      </c>
      <c r="D24" s="7">
        <v>24340.0</v>
      </c>
      <c r="E24" s="7">
        <v>13025.0</v>
      </c>
      <c r="F24" s="8">
        <f t="shared" si="1"/>
        <v>0.5351273624</v>
      </c>
      <c r="G24" s="8" t="str">
        <f t="shared" si="2"/>
        <v>POOR</v>
      </c>
      <c r="H24" s="9">
        <v>3.8</v>
      </c>
      <c r="I24" s="9">
        <v>200.0</v>
      </c>
      <c r="J24" s="9" t="str">
        <f t="array" ref="J24">IFS(I24&gt;299,"High HP",I24&gt;99,"Medium HP",I24&lt;100,"Low HP")</f>
        <v>Medium HP</v>
      </c>
      <c r="K24" s="9" t="s">
        <v>21</v>
      </c>
      <c r="L24" s="9">
        <v>25.0</v>
      </c>
      <c r="M24" s="9">
        <v>81.11854333</v>
      </c>
      <c r="N24" s="9">
        <v>101.1</v>
      </c>
      <c r="O24" s="9">
        <v>74.1</v>
      </c>
      <c r="P24" s="9">
        <v>193.2</v>
      </c>
      <c r="Q24" s="9">
        <v>3.5</v>
      </c>
      <c r="R24" s="9">
        <v>16.8</v>
      </c>
      <c r="S24" s="10">
        <v>40839.0</v>
      </c>
    </row>
    <row r="25" ht="15.75" customHeight="1">
      <c r="A25" s="4" t="s">
        <v>44</v>
      </c>
      <c r="B25" s="5" t="s">
        <v>50</v>
      </c>
      <c r="C25" s="6">
        <v>17947.0</v>
      </c>
      <c r="D25" s="7">
        <v>55705.0</v>
      </c>
      <c r="E25" s="7">
        <v>36225.0</v>
      </c>
      <c r="F25" s="8">
        <f t="shared" si="1"/>
        <v>0.6503006911</v>
      </c>
      <c r="G25" s="8" t="str">
        <f t="shared" si="2"/>
        <v>POOR</v>
      </c>
      <c r="H25" s="9">
        <v>5.7</v>
      </c>
      <c r="I25" s="9">
        <v>345.0</v>
      </c>
      <c r="J25" s="9" t="str">
        <f t="array" ref="J25">IFS(I25&gt;299,"High HP",I25&gt;99,"Medium HP",I25&lt;100,"Low HP")</f>
        <v>High HP</v>
      </c>
      <c r="K25" s="9" t="s">
        <v>21</v>
      </c>
      <c r="L25" s="9">
        <v>22.0</v>
      </c>
      <c r="M25" s="9">
        <v>141.14115</v>
      </c>
      <c r="N25" s="9">
        <v>104.5</v>
      </c>
      <c r="O25" s="9">
        <v>73.6</v>
      </c>
      <c r="P25" s="9">
        <v>179.7</v>
      </c>
      <c r="Q25" s="9">
        <v>3.21</v>
      </c>
      <c r="R25" s="9">
        <v>19.1</v>
      </c>
      <c r="S25" s="10">
        <v>41041.0</v>
      </c>
    </row>
    <row r="26" ht="15.75" customHeight="1">
      <c r="A26" s="4" t="s">
        <v>44</v>
      </c>
      <c r="B26" s="5" t="s">
        <v>51</v>
      </c>
      <c r="C26" s="6">
        <v>32299.0</v>
      </c>
      <c r="D26" s="7">
        <v>13960.0</v>
      </c>
      <c r="E26" s="7">
        <v>9125.0</v>
      </c>
      <c r="F26" s="8">
        <f t="shared" si="1"/>
        <v>0.6536532951</v>
      </c>
      <c r="G26" s="8" t="str">
        <f t="shared" si="2"/>
        <v>POOR</v>
      </c>
      <c r="H26" s="9">
        <v>1.8</v>
      </c>
      <c r="I26" s="9">
        <v>120.0</v>
      </c>
      <c r="J26" s="9" t="str">
        <f t="array" ref="J26">IFS(I26&gt;299,"High HP",I26&gt;99,"Medium HP",I26&lt;100,"Low HP")</f>
        <v>Medium HP</v>
      </c>
      <c r="K26" s="9" t="s">
        <v>21</v>
      </c>
      <c r="L26" s="9">
        <v>33.0</v>
      </c>
      <c r="M26" s="9">
        <v>48.2976361</v>
      </c>
      <c r="N26" s="9">
        <v>97.1</v>
      </c>
      <c r="O26" s="9">
        <v>66.7</v>
      </c>
      <c r="P26" s="9">
        <v>174.3</v>
      </c>
      <c r="Q26" s="9">
        <v>2.398</v>
      </c>
      <c r="R26" s="9">
        <v>13.2</v>
      </c>
      <c r="S26" s="10">
        <v>40797.0</v>
      </c>
    </row>
    <row r="27" ht="15.75" customHeight="1">
      <c r="A27" s="4" t="s">
        <v>44</v>
      </c>
      <c r="B27" s="5" t="s">
        <v>52</v>
      </c>
      <c r="C27" s="6">
        <v>21855.0</v>
      </c>
      <c r="D27" s="7">
        <v>9235.0</v>
      </c>
      <c r="E27" s="7">
        <v>5160.0</v>
      </c>
      <c r="F27" s="8">
        <f t="shared" si="1"/>
        <v>0.558743909</v>
      </c>
      <c r="G27" s="8" t="str">
        <f t="shared" si="2"/>
        <v>POOR</v>
      </c>
      <c r="H27" s="9">
        <v>1.0</v>
      </c>
      <c r="I27" s="9">
        <v>55.0</v>
      </c>
      <c r="J27" s="9" t="str">
        <f t="array" ref="J27">IFS(I27&gt;299,"High HP",I27&gt;99,"Medium HP",I27&lt;100,"Low HP")</f>
        <v>Low HP</v>
      </c>
      <c r="K27" s="9" t="s">
        <v>21</v>
      </c>
      <c r="L27" s="9">
        <v>45.0</v>
      </c>
      <c r="M27" s="9">
        <v>23.27627233</v>
      </c>
      <c r="N27" s="9">
        <v>93.1</v>
      </c>
      <c r="O27" s="9">
        <v>62.6</v>
      </c>
      <c r="P27" s="9">
        <v>149.4</v>
      </c>
      <c r="Q27" s="9">
        <v>1.895</v>
      </c>
      <c r="R27" s="9">
        <v>10.3</v>
      </c>
      <c r="S27" s="10">
        <v>41012.0</v>
      </c>
    </row>
    <row r="28" ht="15.75" customHeight="1">
      <c r="A28" s="4" t="s">
        <v>44</v>
      </c>
      <c r="B28" s="5" t="s">
        <v>53</v>
      </c>
      <c r="C28" s="6">
        <v>107995.0</v>
      </c>
      <c r="D28" s="7">
        <v>18890.0</v>
      </c>
      <c r="E28" s="7">
        <v>11550.0</v>
      </c>
      <c r="F28" s="8">
        <f t="shared" si="1"/>
        <v>0.6114346215</v>
      </c>
      <c r="G28" s="8" t="str">
        <f t="shared" si="2"/>
        <v>POOR</v>
      </c>
      <c r="H28" s="9">
        <v>3.4</v>
      </c>
      <c r="I28" s="9">
        <v>180.0</v>
      </c>
      <c r="J28" s="9" t="str">
        <f t="array" ref="J28">IFS(I28&gt;299,"High HP",I28&gt;99,"Medium HP",I28&lt;100,"Low HP")</f>
        <v>Medium HP</v>
      </c>
      <c r="K28" s="9" t="s">
        <v>21</v>
      </c>
      <c r="L28" s="9">
        <v>27.0</v>
      </c>
      <c r="M28" s="9">
        <v>71.83803944</v>
      </c>
      <c r="N28" s="9">
        <v>110.5</v>
      </c>
      <c r="O28" s="9">
        <v>73.0</v>
      </c>
      <c r="P28" s="9">
        <v>200.0</v>
      </c>
      <c r="Q28" s="9">
        <v>3.389</v>
      </c>
      <c r="R28" s="9">
        <v>17.0</v>
      </c>
      <c r="S28" s="10">
        <v>40712.0</v>
      </c>
    </row>
    <row r="29" ht="15.75" customHeight="1">
      <c r="A29" s="4" t="s">
        <v>54</v>
      </c>
      <c r="B29" s="5" t="s">
        <v>55</v>
      </c>
      <c r="C29" s="6">
        <v>7854.0</v>
      </c>
      <c r="D29" s="7">
        <v>19840.0</v>
      </c>
      <c r="E29" s="7">
        <v>12360.0</v>
      </c>
      <c r="F29" s="8">
        <f t="shared" si="1"/>
        <v>0.622983871</v>
      </c>
      <c r="G29" s="8" t="str">
        <f t="shared" si="2"/>
        <v>POOR</v>
      </c>
      <c r="H29" s="9">
        <v>2.5</v>
      </c>
      <c r="I29" s="9">
        <v>163.0</v>
      </c>
      <c r="J29" s="9" t="str">
        <f t="array" ref="J29">IFS(I29&gt;299,"High HP",I29&gt;99,"Medium HP",I29&lt;100,"Low HP")</f>
        <v>Medium HP</v>
      </c>
      <c r="K29" s="9" t="s">
        <v>21</v>
      </c>
      <c r="L29" s="9">
        <v>24.0</v>
      </c>
      <c r="M29" s="9">
        <v>65.95718396</v>
      </c>
      <c r="N29" s="9">
        <v>103.7</v>
      </c>
      <c r="O29" s="9">
        <v>69.7</v>
      </c>
      <c r="P29" s="9">
        <v>190.9</v>
      </c>
      <c r="Q29" s="9">
        <v>2.967</v>
      </c>
      <c r="R29" s="9">
        <v>15.9</v>
      </c>
      <c r="S29" s="10">
        <v>40924.0</v>
      </c>
    </row>
    <row r="30" ht="15.75" customHeight="1">
      <c r="A30" s="4" t="s">
        <v>54</v>
      </c>
      <c r="B30" s="5" t="s">
        <v>56</v>
      </c>
      <c r="C30" s="6">
        <v>32775.0</v>
      </c>
      <c r="D30" s="7">
        <v>24495.0</v>
      </c>
      <c r="E30" s="7">
        <v>14180.0</v>
      </c>
      <c r="F30" s="8">
        <f t="shared" si="1"/>
        <v>0.5788936518</v>
      </c>
      <c r="G30" s="8" t="str">
        <f t="shared" si="2"/>
        <v>POOR</v>
      </c>
      <c r="H30" s="9">
        <v>2.5</v>
      </c>
      <c r="I30" s="9">
        <v>168.0</v>
      </c>
      <c r="J30" s="9" t="str">
        <f t="array" ref="J30">IFS(I30&gt;299,"High HP",I30&gt;99,"Medium HP",I30&lt;100,"Low HP")</f>
        <v>Medium HP</v>
      </c>
      <c r="K30" s="9" t="s">
        <v>21</v>
      </c>
      <c r="L30" s="9">
        <v>24.0</v>
      </c>
      <c r="M30" s="9">
        <v>69.52135505</v>
      </c>
      <c r="N30" s="9">
        <v>106.0</v>
      </c>
      <c r="O30" s="9">
        <v>69.2</v>
      </c>
      <c r="P30" s="9">
        <v>193.0</v>
      </c>
      <c r="Q30" s="9">
        <v>3.332</v>
      </c>
      <c r="R30" s="9">
        <v>16.0</v>
      </c>
      <c r="S30" s="10">
        <v>40864.0</v>
      </c>
    </row>
    <row r="31" ht="15.75" customHeight="1">
      <c r="A31" s="4" t="s">
        <v>54</v>
      </c>
      <c r="B31" s="5" t="s">
        <v>57</v>
      </c>
      <c r="C31" s="6">
        <v>31148.0</v>
      </c>
      <c r="D31" s="7">
        <v>22245.0</v>
      </c>
      <c r="E31" s="7">
        <v>13725.0</v>
      </c>
      <c r="F31" s="8">
        <f t="shared" si="1"/>
        <v>0.6169925826</v>
      </c>
      <c r="G31" s="8" t="str">
        <f t="shared" si="2"/>
        <v>POOR</v>
      </c>
      <c r="H31" s="9">
        <v>2.7</v>
      </c>
      <c r="I31" s="9">
        <v>200.0</v>
      </c>
      <c r="J31" s="9" t="str">
        <f t="array" ref="J31">IFS(I31&gt;299,"High HP",I31&gt;99,"Medium HP",I31&lt;100,"Low HP")</f>
        <v>Medium HP</v>
      </c>
      <c r="K31" s="9" t="s">
        <v>21</v>
      </c>
      <c r="L31" s="9">
        <v>26.0</v>
      </c>
      <c r="M31" s="9">
        <v>80.02378204</v>
      </c>
      <c r="N31" s="9">
        <v>113.0</v>
      </c>
      <c r="O31" s="9">
        <v>74.4</v>
      </c>
      <c r="P31" s="9">
        <v>209.1</v>
      </c>
      <c r="Q31" s="9">
        <v>3.452</v>
      </c>
      <c r="R31" s="9">
        <v>17.0</v>
      </c>
      <c r="S31" s="10">
        <v>41066.0</v>
      </c>
    </row>
    <row r="32" ht="15.75" customHeight="1">
      <c r="A32" s="4" t="s">
        <v>54</v>
      </c>
      <c r="B32" s="5" t="s">
        <v>58</v>
      </c>
      <c r="C32" s="6">
        <v>32305.999999999996</v>
      </c>
      <c r="D32" s="7">
        <v>16480.0</v>
      </c>
      <c r="E32" s="7">
        <v>12640.0</v>
      </c>
      <c r="F32" s="8">
        <f t="shared" si="1"/>
        <v>0.7669902913</v>
      </c>
      <c r="G32" s="8" t="str">
        <f t="shared" si="2"/>
        <v>GOOD</v>
      </c>
      <c r="H32" s="9">
        <v>2.0</v>
      </c>
      <c r="I32" s="9">
        <v>132.0</v>
      </c>
      <c r="J32" s="9" t="str">
        <f t="array" ref="J32">IFS(I32&gt;299,"High HP",I32&gt;99,"Medium HP",I32&lt;100,"Low HP")</f>
        <v>Medium HP</v>
      </c>
      <c r="K32" s="9" t="s">
        <v>21</v>
      </c>
      <c r="L32" s="9">
        <v>27.0</v>
      </c>
      <c r="M32" s="9">
        <v>53.56619987</v>
      </c>
      <c r="N32" s="9">
        <v>108.0</v>
      </c>
      <c r="O32" s="9">
        <v>71.0</v>
      </c>
      <c r="P32" s="9">
        <v>186.0</v>
      </c>
      <c r="Q32" s="9">
        <v>2.911</v>
      </c>
      <c r="R32" s="9">
        <v>16.0</v>
      </c>
      <c r="S32" s="10">
        <v>40822.0</v>
      </c>
    </row>
    <row r="33" ht="15.75" customHeight="1">
      <c r="A33" s="4" t="s">
        <v>54</v>
      </c>
      <c r="B33" s="5" t="s">
        <v>59</v>
      </c>
      <c r="C33" s="6">
        <v>13462.0</v>
      </c>
      <c r="D33" s="7">
        <v>28340.0</v>
      </c>
      <c r="E33" s="7">
        <v>17325.0</v>
      </c>
      <c r="F33" s="8">
        <f t="shared" si="1"/>
        <v>0.6113267466</v>
      </c>
      <c r="G33" s="8" t="str">
        <f t="shared" si="2"/>
        <v>POOR</v>
      </c>
      <c r="H33" s="9">
        <v>3.5</v>
      </c>
      <c r="I33" s="9">
        <v>253.0</v>
      </c>
      <c r="J33" s="9" t="str">
        <f t="array" ref="J33">IFS(I33&gt;299,"High HP",I33&gt;99,"Medium HP",I33&lt;100,"Low HP")</f>
        <v>Medium HP</v>
      </c>
      <c r="K33" s="9" t="s">
        <v>21</v>
      </c>
      <c r="L33" s="9">
        <v>23.0</v>
      </c>
      <c r="M33" s="9">
        <v>101.3292807</v>
      </c>
      <c r="N33" s="9">
        <v>113.0</v>
      </c>
      <c r="O33" s="9">
        <v>74.4</v>
      </c>
      <c r="P33" s="9">
        <v>207.7</v>
      </c>
      <c r="Q33" s="9">
        <v>3.564</v>
      </c>
      <c r="R33" s="9">
        <v>17.0</v>
      </c>
      <c r="S33" s="10">
        <v>41037.0</v>
      </c>
    </row>
    <row r="34" ht="15.75" customHeight="1">
      <c r="A34" s="4" t="s">
        <v>54</v>
      </c>
      <c r="B34" s="5" t="s">
        <v>60</v>
      </c>
      <c r="C34" s="6">
        <v>30696.0</v>
      </c>
      <c r="D34" s="7">
        <v>29185.0</v>
      </c>
      <c r="E34" s="7">
        <v>18425.0</v>
      </c>
      <c r="F34" s="8">
        <f t="shared" si="1"/>
        <v>0.6313174576</v>
      </c>
      <c r="G34" s="8" t="str">
        <f t="shared" si="2"/>
        <v>POOR</v>
      </c>
      <c r="H34" s="9">
        <v>3.5</v>
      </c>
      <c r="I34" s="9">
        <v>253.0</v>
      </c>
      <c r="J34" s="9" t="str">
        <f t="array" ref="J34">IFS(I34&gt;299,"High HP",I34&gt;99,"Medium HP",I34&lt;100,"Low HP")</f>
        <v>Medium HP</v>
      </c>
      <c r="K34" s="9" t="s">
        <v>21</v>
      </c>
      <c r="L34" s="9">
        <v>23.0</v>
      </c>
      <c r="M34" s="9">
        <v>101.6552441</v>
      </c>
      <c r="N34" s="9">
        <v>113.0</v>
      </c>
      <c r="O34" s="9">
        <v>74.4</v>
      </c>
      <c r="P34" s="9">
        <v>197.8</v>
      </c>
      <c r="Q34" s="9">
        <v>3.567</v>
      </c>
      <c r="R34" s="9">
        <v>17.0</v>
      </c>
      <c r="S34" s="10">
        <v>40949.0</v>
      </c>
    </row>
    <row r="35" ht="15.75" customHeight="1">
      <c r="A35" s="4" t="s">
        <v>61</v>
      </c>
      <c r="B35" s="5" t="s">
        <v>62</v>
      </c>
      <c r="C35" s="6">
        <v>76034.0</v>
      </c>
      <c r="D35" s="7">
        <v>12640.0</v>
      </c>
      <c r="E35" s="7">
        <v>7750.0</v>
      </c>
      <c r="F35" s="8">
        <f t="shared" si="1"/>
        <v>0.6131329114</v>
      </c>
      <c r="G35" s="8" t="str">
        <f t="shared" si="2"/>
        <v>POOR</v>
      </c>
      <c r="H35" s="9">
        <v>2.0</v>
      </c>
      <c r="I35" s="9">
        <v>132.0</v>
      </c>
      <c r="J35" s="9" t="str">
        <f t="array" ref="J35">IFS(I35&gt;299,"High HP",I35&gt;99,"Medium HP",I35&lt;100,"Low HP")</f>
        <v>Medium HP</v>
      </c>
      <c r="K35" s="9" t="s">
        <v>21</v>
      </c>
      <c r="L35" s="9">
        <v>29.0</v>
      </c>
      <c r="M35" s="9">
        <v>52.08489875</v>
      </c>
      <c r="N35" s="9">
        <v>105.0</v>
      </c>
      <c r="O35" s="9">
        <v>74.4</v>
      </c>
      <c r="P35" s="9">
        <v>174.4</v>
      </c>
      <c r="Q35" s="9">
        <v>2.567</v>
      </c>
      <c r="R35" s="9">
        <v>12.5</v>
      </c>
      <c r="S35" s="10">
        <v>40889.0</v>
      </c>
    </row>
    <row r="36" ht="15.75" customHeight="1">
      <c r="A36" s="4" t="s">
        <v>61</v>
      </c>
      <c r="B36" s="5" t="s">
        <v>63</v>
      </c>
      <c r="C36" s="6">
        <v>4734.0</v>
      </c>
      <c r="D36" s="7">
        <v>19045.0</v>
      </c>
      <c r="E36" s="7">
        <v>12545.0</v>
      </c>
      <c r="F36" s="8">
        <f t="shared" si="1"/>
        <v>0.6587030717</v>
      </c>
      <c r="G36" s="8" t="str">
        <f t="shared" si="2"/>
        <v>POOR</v>
      </c>
      <c r="H36" s="9">
        <v>2.5</v>
      </c>
      <c r="I36" s="9">
        <v>163.0</v>
      </c>
      <c r="J36" s="9" t="str">
        <f t="array" ref="J36">IFS(I36&gt;299,"High HP",I36&gt;99,"Medium HP",I36&lt;100,"Low HP")</f>
        <v>Medium HP</v>
      </c>
      <c r="K36" s="9" t="s">
        <v>21</v>
      </c>
      <c r="L36" s="9">
        <v>24.0</v>
      </c>
      <c r="M36" s="9">
        <v>65.65050834</v>
      </c>
      <c r="N36" s="9">
        <v>103.7</v>
      </c>
      <c r="O36" s="9">
        <v>69.1</v>
      </c>
      <c r="P36" s="9">
        <v>190.2</v>
      </c>
      <c r="Q36" s="9">
        <v>2.879</v>
      </c>
      <c r="R36" s="9">
        <v>15.9</v>
      </c>
      <c r="S36" s="10">
        <v>41091.0</v>
      </c>
    </row>
    <row r="37" ht="15.75" customHeight="1">
      <c r="A37" s="4" t="s">
        <v>61</v>
      </c>
      <c r="B37" s="5" t="s">
        <v>64</v>
      </c>
      <c r="C37" s="6">
        <v>71186.0</v>
      </c>
      <c r="D37" s="7">
        <v>20230.0</v>
      </c>
      <c r="E37" s="7">
        <v>10185.0</v>
      </c>
      <c r="F37" s="8">
        <f t="shared" si="1"/>
        <v>0.5034602076</v>
      </c>
      <c r="G37" s="8" t="str">
        <f t="shared" si="2"/>
        <v>POOR</v>
      </c>
      <c r="H37" s="9">
        <v>2.5</v>
      </c>
      <c r="I37" s="9">
        <v>168.0</v>
      </c>
      <c r="J37" s="9" t="str">
        <f t="array" ref="J37">IFS(I37&gt;299,"High HP",I37&gt;99,"Medium HP",I37&lt;100,"Low HP")</f>
        <v>Medium HP</v>
      </c>
      <c r="K37" s="9" t="s">
        <v>21</v>
      </c>
      <c r="L37" s="9">
        <v>24.0</v>
      </c>
      <c r="M37" s="9">
        <v>67.87610784</v>
      </c>
      <c r="N37" s="9">
        <v>108.0</v>
      </c>
      <c r="O37" s="9">
        <v>71.0</v>
      </c>
      <c r="P37" s="9">
        <v>186.0</v>
      </c>
      <c r="Q37" s="9">
        <v>3.058</v>
      </c>
      <c r="R37" s="9">
        <v>16.0</v>
      </c>
      <c r="S37" s="10">
        <v>40847.0</v>
      </c>
    </row>
    <row r="38" ht="15.75" customHeight="1">
      <c r="A38" s="4" t="s">
        <v>61</v>
      </c>
      <c r="B38" s="5" t="s">
        <v>65</v>
      </c>
      <c r="C38" s="6">
        <v>88028.0</v>
      </c>
      <c r="D38" s="7">
        <v>22505.0</v>
      </c>
      <c r="E38" s="7">
        <v>12275.0</v>
      </c>
      <c r="F38" s="8">
        <f t="shared" si="1"/>
        <v>0.5454343479</v>
      </c>
      <c r="G38" s="8" t="str">
        <f t="shared" si="2"/>
        <v>POOR</v>
      </c>
      <c r="H38" s="9">
        <v>2.7</v>
      </c>
      <c r="I38" s="9">
        <v>202.0</v>
      </c>
      <c r="J38" s="9" t="str">
        <f t="array" ref="J38">IFS(I38&gt;299,"High HP",I38&gt;99,"Medium HP",I38&lt;100,"Low HP")</f>
        <v>Medium HP</v>
      </c>
      <c r="K38" s="9" t="s">
        <v>21</v>
      </c>
      <c r="L38" s="9">
        <v>22.0</v>
      </c>
      <c r="M38" s="9">
        <v>80.83147017</v>
      </c>
      <c r="N38" s="9">
        <v>113.0</v>
      </c>
      <c r="O38" s="9">
        <v>74.7</v>
      </c>
      <c r="P38" s="9">
        <v>203.7</v>
      </c>
      <c r="Q38" s="9">
        <v>3.489</v>
      </c>
      <c r="R38" s="9">
        <v>17.0</v>
      </c>
      <c r="S38" s="10">
        <v>41062.0</v>
      </c>
    </row>
    <row r="39" ht="15.75" customHeight="1">
      <c r="A39" s="4" t="s">
        <v>61</v>
      </c>
      <c r="B39" s="5" t="s">
        <v>66</v>
      </c>
      <c r="C39" s="6">
        <v>916.0</v>
      </c>
      <c r="D39" s="7">
        <v>69725.0</v>
      </c>
      <c r="E39" s="7">
        <v>58470.0</v>
      </c>
      <c r="F39" s="8">
        <f t="shared" si="1"/>
        <v>0.8385801362</v>
      </c>
      <c r="G39" s="8" t="str">
        <f t="shared" si="2"/>
        <v>GOOD</v>
      </c>
      <c r="H39" s="9">
        <v>8.0</v>
      </c>
      <c r="I39" s="9">
        <v>450.0</v>
      </c>
      <c r="J39" s="9" t="str">
        <f t="array" ref="J39">IFS(I39&gt;299,"High HP",I39&gt;99,"Medium HP",I39&lt;100,"Low HP")</f>
        <v>High HP</v>
      </c>
      <c r="K39" s="9" t="s">
        <v>21</v>
      </c>
      <c r="L39" s="9">
        <v>16.0</v>
      </c>
      <c r="M39" s="9">
        <v>188.144323</v>
      </c>
      <c r="N39" s="9">
        <v>96.2</v>
      </c>
      <c r="O39" s="9">
        <v>75.7</v>
      </c>
      <c r="P39" s="9">
        <v>176.7</v>
      </c>
      <c r="Q39" s="9">
        <v>3.375</v>
      </c>
      <c r="R39" s="9">
        <v>19.0</v>
      </c>
      <c r="S39" s="10">
        <v>40762.0</v>
      </c>
    </row>
    <row r="40" ht="15.75" customHeight="1">
      <c r="A40" s="4" t="s">
        <v>61</v>
      </c>
      <c r="B40" s="5" t="s">
        <v>67</v>
      </c>
      <c r="C40" s="6">
        <v>227061.0</v>
      </c>
      <c r="D40" s="7">
        <v>19460.0</v>
      </c>
      <c r="E40" s="7">
        <v>15060.0</v>
      </c>
      <c r="F40" s="8">
        <f t="shared" si="1"/>
        <v>0.7738951696</v>
      </c>
      <c r="G40" s="8" t="str">
        <f t="shared" si="2"/>
        <v>GOOD</v>
      </c>
      <c r="H40" s="9">
        <v>5.2</v>
      </c>
      <c r="I40" s="9">
        <v>230.0</v>
      </c>
      <c r="J40" s="9" t="str">
        <f t="array" ref="J40">IFS(I40&gt;299,"High HP",I40&gt;99,"Medium HP",I40&lt;100,"Low HP")</f>
        <v>Medium HP</v>
      </c>
      <c r="K40" s="9" t="s">
        <v>43</v>
      </c>
      <c r="L40" s="9">
        <v>17.0</v>
      </c>
      <c r="M40" s="9">
        <v>90.21170005</v>
      </c>
      <c r="N40" s="9">
        <v>138.7</v>
      </c>
      <c r="O40" s="9">
        <v>79.3</v>
      </c>
      <c r="P40" s="9">
        <v>224.2</v>
      </c>
      <c r="Q40" s="9">
        <v>4.47</v>
      </c>
      <c r="R40" s="9">
        <v>26.0</v>
      </c>
      <c r="S40" s="10">
        <v>40974.0</v>
      </c>
    </row>
    <row r="41" ht="15.75" customHeight="1">
      <c r="A41" s="4" t="s">
        <v>61</v>
      </c>
      <c r="B41" s="5" t="s">
        <v>68</v>
      </c>
      <c r="C41" s="6">
        <v>16767.0</v>
      </c>
      <c r="D41" s="7">
        <v>21315.0</v>
      </c>
      <c r="E41" s="7">
        <v>15510.0</v>
      </c>
      <c r="F41" s="8">
        <f t="shared" si="1"/>
        <v>0.7276565799</v>
      </c>
      <c r="G41" s="8" t="str">
        <f t="shared" si="2"/>
        <v>GOOD</v>
      </c>
      <c r="H41" s="9">
        <v>3.9</v>
      </c>
      <c r="I41" s="9">
        <v>175.0</v>
      </c>
      <c r="J41" s="9" t="str">
        <f t="array" ref="J41">IFS(I41&gt;299,"High HP",I41&gt;99,"Medium HP",I41&lt;100,"Low HP")</f>
        <v>Medium HP</v>
      </c>
      <c r="K41" s="9" t="s">
        <v>43</v>
      </c>
      <c r="L41" s="9">
        <v>15.0</v>
      </c>
      <c r="M41" s="9">
        <v>71.13529161</v>
      </c>
      <c r="N41" s="9">
        <v>109.6</v>
      </c>
      <c r="O41" s="9">
        <v>78.8</v>
      </c>
      <c r="P41" s="9">
        <v>192.6</v>
      </c>
      <c r="Q41" s="9">
        <v>4.245</v>
      </c>
      <c r="R41" s="9">
        <v>32.0</v>
      </c>
      <c r="S41" s="10">
        <v>40914.0</v>
      </c>
    </row>
    <row r="42" ht="15.75" customHeight="1">
      <c r="A42" s="4" t="s">
        <v>61</v>
      </c>
      <c r="B42" s="5" t="s">
        <v>69</v>
      </c>
      <c r="C42" s="6">
        <v>31038.0</v>
      </c>
      <c r="D42" s="7">
        <v>18575.0</v>
      </c>
      <c r="E42" s="7">
        <v>13425.0</v>
      </c>
      <c r="F42" s="8">
        <f t="shared" si="1"/>
        <v>0.7227456258</v>
      </c>
      <c r="G42" s="8" t="str">
        <f t="shared" si="2"/>
        <v>GOOD</v>
      </c>
      <c r="H42" s="9">
        <v>3.9</v>
      </c>
      <c r="I42" s="9">
        <v>175.0</v>
      </c>
      <c r="J42" s="9" t="str">
        <f t="array" ref="J42">IFS(I42&gt;299,"High HP",I42&gt;99,"Medium HP",I42&lt;100,"Low HP")</f>
        <v>Medium HP</v>
      </c>
      <c r="K42" s="9" t="s">
        <v>43</v>
      </c>
      <c r="L42" s="9">
        <v>16.0</v>
      </c>
      <c r="M42" s="9">
        <v>70.07832154</v>
      </c>
      <c r="N42" s="9">
        <v>127.2</v>
      </c>
      <c r="O42" s="9">
        <v>78.8</v>
      </c>
      <c r="P42" s="9">
        <v>208.5</v>
      </c>
      <c r="Q42" s="9">
        <v>4.298</v>
      </c>
      <c r="R42" s="9">
        <v>32.0</v>
      </c>
      <c r="S42" s="10">
        <v>41116.0</v>
      </c>
    </row>
    <row r="43" ht="15.75" customHeight="1">
      <c r="A43" s="4" t="s">
        <v>61</v>
      </c>
      <c r="B43" s="5" t="s">
        <v>70</v>
      </c>
      <c r="C43" s="6">
        <v>111313.0</v>
      </c>
      <c r="D43" s="7">
        <v>16980.0</v>
      </c>
      <c r="E43" s="7">
        <v>11260.0</v>
      </c>
      <c r="F43" s="8">
        <f t="shared" si="1"/>
        <v>0.6631330978</v>
      </c>
      <c r="G43" s="8" t="str">
        <f t="shared" si="2"/>
        <v>POOR</v>
      </c>
      <c r="H43" s="9">
        <v>2.5</v>
      </c>
      <c r="I43" s="9">
        <v>120.0</v>
      </c>
      <c r="J43" s="9" t="str">
        <f t="array" ref="J43">IFS(I43&gt;299,"High HP",I43&gt;99,"Medium HP",I43&lt;100,"Low HP")</f>
        <v>Medium HP</v>
      </c>
      <c r="K43" s="9" t="s">
        <v>43</v>
      </c>
      <c r="L43" s="9">
        <v>19.0</v>
      </c>
      <c r="M43" s="9">
        <v>49.64500177</v>
      </c>
      <c r="N43" s="9">
        <v>131.0</v>
      </c>
      <c r="O43" s="9">
        <v>71.5</v>
      </c>
      <c r="P43" s="9">
        <v>215.0</v>
      </c>
      <c r="Q43" s="9">
        <v>3.557</v>
      </c>
      <c r="R43" s="9">
        <v>22.0</v>
      </c>
      <c r="S43" s="10">
        <v>40872.0</v>
      </c>
    </row>
    <row r="44" ht="15.75" customHeight="1">
      <c r="A44" s="4" t="s">
        <v>61</v>
      </c>
      <c r="B44" s="5" t="s">
        <v>71</v>
      </c>
      <c r="C44" s="6">
        <v>101323.0</v>
      </c>
      <c r="D44" s="7">
        <v>26310.0</v>
      </c>
      <c r="E44" s="7">
        <v>21436.0</v>
      </c>
      <c r="F44" s="8">
        <f t="shared" si="1"/>
        <v>0.8147472444</v>
      </c>
      <c r="G44" s="8" t="str">
        <f t="shared" si="2"/>
        <v>GOOD</v>
      </c>
      <c r="H44" s="9">
        <v>5.2</v>
      </c>
      <c r="I44" s="9">
        <v>230.0</v>
      </c>
      <c r="J44" s="9" t="str">
        <f t="array" ref="J44">IFS(I44&gt;299,"High HP",I44&gt;99,"Medium HP",I44&lt;100,"Low HP")</f>
        <v>Medium HP</v>
      </c>
      <c r="K44" s="9" t="s">
        <v>43</v>
      </c>
      <c r="L44" s="9">
        <v>17.0</v>
      </c>
      <c r="M44" s="9">
        <v>92.85412522</v>
      </c>
      <c r="N44" s="9">
        <v>115.7</v>
      </c>
      <c r="O44" s="9">
        <v>71.7</v>
      </c>
      <c r="P44" s="9">
        <v>193.5</v>
      </c>
      <c r="Q44" s="9">
        <v>4.394</v>
      </c>
      <c r="R44" s="9">
        <v>25.0</v>
      </c>
      <c r="S44" s="10">
        <v>41087.0</v>
      </c>
    </row>
    <row r="45" ht="15.75" customHeight="1">
      <c r="A45" s="4" t="s">
        <v>61</v>
      </c>
      <c r="B45" s="5" t="s">
        <v>72</v>
      </c>
      <c r="C45" s="6">
        <v>181749.0</v>
      </c>
      <c r="D45" s="7">
        <v>19565.0</v>
      </c>
      <c r="E45" s="7">
        <v>12025.0</v>
      </c>
      <c r="F45" s="8">
        <f t="shared" si="1"/>
        <v>0.6146179402</v>
      </c>
      <c r="G45" s="8" t="str">
        <f t="shared" si="2"/>
        <v>POOR</v>
      </c>
      <c r="H45" s="9">
        <v>2.4</v>
      </c>
      <c r="I45" s="9">
        <v>150.0</v>
      </c>
      <c r="J45" s="9" t="str">
        <f t="array" ref="J45">IFS(I45&gt;299,"High HP",I45&gt;99,"Medium HP",I45&lt;100,"Low HP")</f>
        <v>Medium HP</v>
      </c>
      <c r="K45" s="9" t="s">
        <v>43</v>
      </c>
      <c r="L45" s="9">
        <v>24.0</v>
      </c>
      <c r="M45" s="9">
        <v>61.22700031</v>
      </c>
      <c r="N45" s="9">
        <v>113.3</v>
      </c>
      <c r="O45" s="9">
        <v>76.8</v>
      </c>
      <c r="P45" s="9">
        <v>186.3</v>
      </c>
      <c r="Q45" s="9">
        <v>3.533</v>
      </c>
      <c r="R45" s="9">
        <v>20.0</v>
      </c>
      <c r="S45" s="10">
        <v>40787.0</v>
      </c>
    </row>
    <row r="46" ht="15.75" customHeight="1">
      <c r="A46" s="4" t="s">
        <v>73</v>
      </c>
      <c r="B46" s="5" t="s">
        <v>74</v>
      </c>
      <c r="C46" s="6">
        <v>70227.0</v>
      </c>
      <c r="D46" s="7">
        <v>12070.0</v>
      </c>
      <c r="E46" s="7">
        <v>7425.0</v>
      </c>
      <c r="F46" s="8">
        <f t="shared" si="1"/>
        <v>0.6151615576</v>
      </c>
      <c r="G46" s="8" t="str">
        <f t="shared" si="2"/>
        <v>POOR</v>
      </c>
      <c r="H46" s="9">
        <v>2.0</v>
      </c>
      <c r="I46" s="9">
        <v>110.0</v>
      </c>
      <c r="J46" s="9" t="str">
        <f t="array" ref="J46">IFS(I46&gt;299,"High HP",I46&gt;99,"Medium HP",I46&lt;100,"Low HP")</f>
        <v>Medium HP</v>
      </c>
      <c r="K46" s="9" t="s">
        <v>21</v>
      </c>
      <c r="L46" s="9">
        <v>30.0</v>
      </c>
      <c r="M46" s="9">
        <v>44.08370946</v>
      </c>
      <c r="N46" s="9">
        <v>98.4</v>
      </c>
      <c r="O46" s="9">
        <v>67.0</v>
      </c>
      <c r="P46" s="9">
        <v>174.7</v>
      </c>
      <c r="Q46" s="9">
        <v>2.468</v>
      </c>
      <c r="R46" s="9">
        <v>12.7</v>
      </c>
      <c r="S46" s="10">
        <v>40999.0</v>
      </c>
    </row>
    <row r="47" ht="15.75" customHeight="1">
      <c r="A47" s="4" t="s">
        <v>73</v>
      </c>
      <c r="B47" s="5" t="s">
        <v>75</v>
      </c>
      <c r="C47" s="6">
        <v>113369.0</v>
      </c>
      <c r="D47" s="7">
        <v>21560.0</v>
      </c>
      <c r="E47" s="7">
        <v>12760.0</v>
      </c>
      <c r="F47" s="8">
        <f t="shared" si="1"/>
        <v>0.5918367347</v>
      </c>
      <c r="G47" s="8" t="str">
        <f t="shared" si="2"/>
        <v>POOR</v>
      </c>
      <c r="H47" s="9">
        <v>3.8</v>
      </c>
      <c r="I47" s="9">
        <v>190.0</v>
      </c>
      <c r="J47" s="9" t="str">
        <f t="array" ref="J47">IFS(I47&gt;299,"High HP",I47&gt;99,"Medium HP",I47&lt;100,"Low HP")</f>
        <v>Medium HP</v>
      </c>
      <c r="K47" s="9" t="s">
        <v>21</v>
      </c>
      <c r="L47" s="9">
        <v>24.0</v>
      </c>
      <c r="M47" s="9">
        <v>76.50918456</v>
      </c>
      <c r="N47" s="9">
        <v>101.3</v>
      </c>
      <c r="O47" s="9">
        <v>73.1</v>
      </c>
      <c r="P47" s="9">
        <v>183.2</v>
      </c>
      <c r="Q47" s="9">
        <v>3.203</v>
      </c>
      <c r="R47" s="9">
        <v>15.7</v>
      </c>
      <c r="S47" s="10">
        <v>40939.0</v>
      </c>
    </row>
    <row r="48" ht="15.75" customHeight="1">
      <c r="A48" s="4" t="s">
        <v>73</v>
      </c>
      <c r="B48" s="5" t="s">
        <v>76</v>
      </c>
      <c r="C48" s="6">
        <v>35068.0</v>
      </c>
      <c r="D48" s="7">
        <v>17035.0</v>
      </c>
      <c r="E48" s="7">
        <v>8835.0</v>
      </c>
      <c r="F48" s="8">
        <f t="shared" si="1"/>
        <v>0.518638098</v>
      </c>
      <c r="G48" s="8" t="str">
        <f t="shared" si="2"/>
        <v>POOR</v>
      </c>
      <c r="H48" s="9">
        <v>2.5</v>
      </c>
      <c r="I48" s="9">
        <v>170.0</v>
      </c>
      <c r="J48" s="9" t="str">
        <f t="array" ref="J48">IFS(I48&gt;299,"High HP",I48&gt;99,"Medium HP",I48&lt;100,"Low HP")</f>
        <v>Medium HP</v>
      </c>
      <c r="K48" s="9" t="s">
        <v>21</v>
      </c>
      <c r="L48" s="9">
        <v>25.0</v>
      </c>
      <c r="M48" s="9">
        <v>67.35101072</v>
      </c>
      <c r="N48" s="9">
        <v>106.5</v>
      </c>
      <c r="O48" s="9">
        <v>69.1</v>
      </c>
      <c r="P48" s="9">
        <v>184.6</v>
      </c>
      <c r="Q48" s="9">
        <v>2.769</v>
      </c>
      <c r="R48" s="9">
        <v>15.0</v>
      </c>
      <c r="S48" s="10">
        <v>41141.0</v>
      </c>
    </row>
    <row r="49" ht="15.75" customHeight="1">
      <c r="A49" s="4" t="s">
        <v>73</v>
      </c>
      <c r="B49" s="5" t="s">
        <v>77</v>
      </c>
      <c r="C49" s="6">
        <v>245815.0</v>
      </c>
      <c r="D49" s="7">
        <v>17885.0</v>
      </c>
      <c r="E49" s="7">
        <v>10055.0</v>
      </c>
      <c r="F49" s="8">
        <f t="shared" si="1"/>
        <v>0.5622029634</v>
      </c>
      <c r="G49" s="8" t="str">
        <f t="shared" si="2"/>
        <v>POOR</v>
      </c>
      <c r="H49" s="9">
        <v>3.0</v>
      </c>
      <c r="I49" s="9">
        <v>155.0</v>
      </c>
      <c r="J49" s="9" t="str">
        <f t="array" ref="J49">IFS(I49&gt;299,"High HP",I49&gt;99,"Medium HP",I49&lt;100,"Low HP")</f>
        <v>Medium HP</v>
      </c>
      <c r="K49" s="9" t="s">
        <v>21</v>
      </c>
      <c r="L49" s="9">
        <v>24.0</v>
      </c>
      <c r="M49" s="9">
        <v>62.5037395</v>
      </c>
      <c r="N49" s="9">
        <v>108.5</v>
      </c>
      <c r="O49" s="9">
        <v>73.0</v>
      </c>
      <c r="P49" s="9">
        <v>197.6</v>
      </c>
      <c r="Q49" s="9">
        <v>3.368</v>
      </c>
      <c r="R49" s="9">
        <v>16.0</v>
      </c>
      <c r="S49" s="10">
        <v>40897.0</v>
      </c>
    </row>
    <row r="50" ht="15.75" customHeight="1">
      <c r="A50" s="4" t="s">
        <v>73</v>
      </c>
      <c r="B50" s="5" t="s">
        <v>78</v>
      </c>
      <c r="C50" s="6">
        <v>175670.0</v>
      </c>
      <c r="D50" s="7">
        <v>12315.0</v>
      </c>
      <c r="E50" s="7">
        <v>8670.0</v>
      </c>
      <c r="F50" s="8">
        <f t="shared" si="1"/>
        <v>0.7040194884</v>
      </c>
      <c r="G50" s="8" t="str">
        <f t="shared" si="2"/>
        <v>GOOD</v>
      </c>
      <c r="H50" s="9">
        <v>2.0</v>
      </c>
      <c r="I50" s="9">
        <v>107.0</v>
      </c>
      <c r="J50" s="9" t="str">
        <f t="array" ref="J50">IFS(I50&gt;299,"High HP",I50&gt;99,"Medium HP",I50&lt;100,"Low HP")</f>
        <v>Medium HP</v>
      </c>
      <c r="K50" s="9" t="s">
        <v>21</v>
      </c>
      <c r="L50" s="9">
        <v>30.0</v>
      </c>
      <c r="M50" s="9">
        <v>43.11713201</v>
      </c>
      <c r="N50" s="9">
        <v>103.0</v>
      </c>
      <c r="O50" s="9">
        <v>66.9</v>
      </c>
      <c r="P50" s="9">
        <v>174.8</v>
      </c>
      <c r="Q50" s="9">
        <v>2.564</v>
      </c>
      <c r="R50" s="9">
        <v>13.2</v>
      </c>
      <c r="S50" s="10">
        <v>41112.0</v>
      </c>
    </row>
    <row r="51" ht="15.75" customHeight="1">
      <c r="A51" s="4" t="s">
        <v>73</v>
      </c>
      <c r="B51" s="5" t="s">
        <v>79</v>
      </c>
      <c r="C51" s="6">
        <v>63403.0</v>
      </c>
      <c r="D51" s="7">
        <v>22195.0</v>
      </c>
      <c r="E51" s="7">
        <v>14210.0</v>
      </c>
      <c r="F51" s="8">
        <f t="shared" si="1"/>
        <v>0.640234287</v>
      </c>
      <c r="G51" s="8" t="str">
        <f t="shared" si="2"/>
        <v>POOR</v>
      </c>
      <c r="H51" s="9">
        <v>4.6</v>
      </c>
      <c r="I51" s="9">
        <v>200.0</v>
      </c>
      <c r="J51" s="9" t="str">
        <f t="array" ref="J51">IFS(I51&gt;299,"High HP",I51&gt;99,"Medium HP",I51&lt;100,"Low HP")</f>
        <v>Medium HP</v>
      </c>
      <c r="K51" s="9" t="s">
        <v>21</v>
      </c>
      <c r="L51" s="9">
        <v>21.0</v>
      </c>
      <c r="M51" s="9">
        <v>80.49953671</v>
      </c>
      <c r="N51" s="9">
        <v>114.7</v>
      </c>
      <c r="O51" s="9">
        <v>78.2</v>
      </c>
      <c r="P51" s="9">
        <v>212.0</v>
      </c>
      <c r="Q51" s="9">
        <v>3.908</v>
      </c>
      <c r="R51" s="9">
        <v>19.0</v>
      </c>
      <c r="S51" s="10">
        <v>40812.0</v>
      </c>
    </row>
    <row r="52" ht="15.75" customHeight="1">
      <c r="A52" s="4" t="s">
        <v>73</v>
      </c>
      <c r="B52" s="5" t="s">
        <v>80</v>
      </c>
      <c r="C52" s="6">
        <v>276747.0</v>
      </c>
      <c r="D52" s="7">
        <v>31930.0</v>
      </c>
      <c r="E52" s="7">
        <v>16640.0</v>
      </c>
      <c r="F52" s="8">
        <f t="shared" si="1"/>
        <v>0.5211399937</v>
      </c>
      <c r="G52" s="8" t="str">
        <f t="shared" si="2"/>
        <v>POOR</v>
      </c>
      <c r="H52" s="9">
        <v>4.0</v>
      </c>
      <c r="I52" s="9">
        <v>210.0</v>
      </c>
      <c r="J52" s="9" t="str">
        <f t="array" ref="J52">IFS(I52&gt;299,"High HP",I52&gt;99,"Medium HP",I52&lt;100,"Low HP")</f>
        <v>Medium HP</v>
      </c>
      <c r="K52" s="9" t="s">
        <v>43</v>
      </c>
      <c r="L52" s="9">
        <v>19.0</v>
      </c>
      <c r="M52" s="9">
        <v>87.63549578</v>
      </c>
      <c r="N52" s="9">
        <v>111.6</v>
      </c>
      <c r="O52" s="9">
        <v>70.2</v>
      </c>
      <c r="P52" s="9">
        <v>190.7</v>
      </c>
      <c r="Q52" s="9">
        <v>3.876</v>
      </c>
      <c r="R52" s="9">
        <v>21.0</v>
      </c>
      <c r="S52" s="10">
        <v>41024.0</v>
      </c>
    </row>
    <row r="53" ht="15.75" customHeight="1">
      <c r="A53" s="4" t="s">
        <v>73</v>
      </c>
      <c r="B53" s="5" t="s">
        <v>81</v>
      </c>
      <c r="C53" s="6">
        <v>155787.0</v>
      </c>
      <c r="D53" s="7">
        <v>21410.0</v>
      </c>
      <c r="E53" s="7">
        <v>13175.0</v>
      </c>
      <c r="F53" s="8">
        <f t="shared" si="1"/>
        <v>0.6153666511</v>
      </c>
      <c r="G53" s="8" t="str">
        <f t="shared" si="2"/>
        <v>POOR</v>
      </c>
      <c r="H53" s="9">
        <v>3.0</v>
      </c>
      <c r="I53" s="9">
        <v>150.0</v>
      </c>
      <c r="J53" s="9" t="str">
        <f t="array" ref="J53">IFS(I53&gt;299,"High HP",I53&gt;99,"Medium HP",I53&lt;100,"Low HP")</f>
        <v>Medium HP</v>
      </c>
      <c r="K53" s="9" t="s">
        <v>43</v>
      </c>
      <c r="L53" s="9">
        <v>21.0</v>
      </c>
      <c r="M53" s="9">
        <v>62.09504839</v>
      </c>
      <c r="N53" s="9">
        <v>120.7</v>
      </c>
      <c r="O53" s="9">
        <v>76.6</v>
      </c>
      <c r="P53" s="9">
        <v>200.9</v>
      </c>
      <c r="Q53" s="9">
        <v>3.761</v>
      </c>
      <c r="R53" s="9">
        <v>26.0</v>
      </c>
      <c r="S53" s="10">
        <v>40964.0</v>
      </c>
    </row>
    <row r="54" ht="15.75" customHeight="1">
      <c r="A54" s="4" t="s">
        <v>73</v>
      </c>
      <c r="B54" s="5" t="s">
        <v>82</v>
      </c>
      <c r="C54" s="6">
        <v>125338.0</v>
      </c>
      <c r="D54" s="7">
        <v>36135.0</v>
      </c>
      <c r="E54" s="7">
        <v>23575.0</v>
      </c>
      <c r="F54" s="8">
        <f t="shared" si="1"/>
        <v>0.6524145565</v>
      </c>
      <c r="G54" s="8" t="str">
        <f t="shared" si="2"/>
        <v>POOR</v>
      </c>
      <c r="H54" s="9">
        <v>4.6</v>
      </c>
      <c r="I54" s="9">
        <v>240.0</v>
      </c>
      <c r="J54" s="9" t="str">
        <f t="array" ref="J54">IFS(I54&gt;299,"High HP",I54&gt;99,"Medium HP",I54&lt;100,"Low HP")</f>
        <v>Medium HP</v>
      </c>
      <c r="K54" s="9" t="s">
        <v>43</v>
      </c>
      <c r="L54" s="9">
        <v>16.0</v>
      </c>
      <c r="M54" s="9">
        <v>100.0248023</v>
      </c>
      <c r="N54" s="9">
        <v>119.0</v>
      </c>
      <c r="O54" s="9">
        <v>78.7</v>
      </c>
      <c r="P54" s="9">
        <v>204.6</v>
      </c>
      <c r="Q54" s="9">
        <v>4.808</v>
      </c>
      <c r="R54" s="9">
        <v>26.0</v>
      </c>
      <c r="S54" s="10">
        <v>41166.0</v>
      </c>
    </row>
    <row r="55" ht="15.75" customHeight="1">
      <c r="A55" s="4" t="s">
        <v>73</v>
      </c>
      <c r="B55" s="5" t="s">
        <v>83</v>
      </c>
      <c r="C55" s="6">
        <v>220650.0</v>
      </c>
      <c r="D55" s="7">
        <v>12050.0</v>
      </c>
      <c r="E55" s="7">
        <v>7850.0</v>
      </c>
      <c r="F55" s="8">
        <f t="shared" si="1"/>
        <v>0.6514522822</v>
      </c>
      <c r="G55" s="8" t="str">
        <f t="shared" si="2"/>
        <v>POOR</v>
      </c>
      <c r="H55" s="9">
        <v>2.5</v>
      </c>
      <c r="I55" s="9">
        <v>119.0</v>
      </c>
      <c r="J55" s="9" t="str">
        <f t="array" ref="J55">IFS(I55&gt;299,"High HP",I55&gt;99,"Medium HP",I55&lt;100,"Low HP")</f>
        <v>Medium HP</v>
      </c>
      <c r="K55" s="9" t="s">
        <v>43</v>
      </c>
      <c r="L55" s="9">
        <v>23.0</v>
      </c>
      <c r="M55" s="9">
        <v>47.38953131</v>
      </c>
      <c r="N55" s="9">
        <v>117.5</v>
      </c>
      <c r="O55" s="9">
        <v>69.4</v>
      </c>
      <c r="P55" s="9">
        <v>200.7</v>
      </c>
      <c r="Q55" s="9">
        <v>3.086</v>
      </c>
      <c r="R55" s="9">
        <v>20.0</v>
      </c>
      <c r="S55" s="10">
        <v>40922.0</v>
      </c>
    </row>
    <row r="56" ht="15.75" customHeight="1">
      <c r="A56" s="4" t="s">
        <v>73</v>
      </c>
      <c r="B56" s="5" t="s">
        <v>84</v>
      </c>
      <c r="C56" s="6">
        <v>540561.0</v>
      </c>
      <c r="D56" s="7">
        <v>26935.0</v>
      </c>
      <c r="E56" s="7">
        <v>15075.0</v>
      </c>
      <c r="F56" s="8">
        <f t="shared" si="1"/>
        <v>0.5596807128</v>
      </c>
      <c r="G56" s="8" t="str">
        <f t="shared" si="2"/>
        <v>POOR</v>
      </c>
      <c r="H56" s="9">
        <v>4.6</v>
      </c>
      <c r="I56" s="9">
        <v>220.0</v>
      </c>
      <c r="J56" s="9" t="str">
        <f t="array" ref="J56">IFS(I56&gt;299,"High HP",I56&gt;99,"Medium HP",I56&lt;100,"Low HP")</f>
        <v>Medium HP</v>
      </c>
      <c r="K56" s="9" t="s">
        <v>43</v>
      </c>
      <c r="L56" s="9">
        <v>18.0</v>
      </c>
      <c r="M56" s="9">
        <v>89.40193473</v>
      </c>
      <c r="N56" s="9">
        <v>138.5</v>
      </c>
      <c r="O56" s="9">
        <v>79.1</v>
      </c>
      <c r="P56" s="9">
        <v>224.5</v>
      </c>
      <c r="Q56" s="9">
        <v>4.241</v>
      </c>
      <c r="R56" s="9">
        <v>25.1</v>
      </c>
      <c r="S56" s="10">
        <v>41137.0</v>
      </c>
    </row>
    <row r="57" ht="15.75" customHeight="1">
      <c r="A57" s="4" t="s">
        <v>85</v>
      </c>
      <c r="B57" s="5" t="s">
        <v>86</v>
      </c>
      <c r="C57" s="6">
        <v>199685.0</v>
      </c>
      <c r="D57" s="7">
        <v>12885.0</v>
      </c>
      <c r="E57" s="7">
        <v>9850.0</v>
      </c>
      <c r="F57" s="8">
        <f t="shared" si="1"/>
        <v>0.7644547924</v>
      </c>
      <c r="G57" s="8" t="str">
        <f t="shared" si="2"/>
        <v>GOOD</v>
      </c>
      <c r="H57" s="9">
        <v>1.6</v>
      </c>
      <c r="I57" s="9">
        <v>106.0</v>
      </c>
      <c r="J57" s="9" t="str">
        <f t="array" ref="J57">IFS(I57&gt;299,"High HP",I57&gt;99,"Medium HP",I57&lt;100,"Low HP")</f>
        <v>Medium HP</v>
      </c>
      <c r="K57" s="9" t="s">
        <v>21</v>
      </c>
      <c r="L57" s="9">
        <v>32.0</v>
      </c>
      <c r="M57" s="9">
        <v>42.87909734</v>
      </c>
      <c r="N57" s="9">
        <v>103.2</v>
      </c>
      <c r="O57" s="9">
        <v>67.1</v>
      </c>
      <c r="P57" s="9">
        <v>175.1</v>
      </c>
      <c r="Q57" s="9">
        <v>2.339</v>
      </c>
      <c r="R57" s="9">
        <v>11.9</v>
      </c>
      <c r="S57" s="10">
        <v>40837.0</v>
      </c>
    </row>
    <row r="58" ht="15.75" customHeight="1">
      <c r="A58" s="4" t="s">
        <v>85</v>
      </c>
      <c r="B58" s="5" t="s">
        <v>87</v>
      </c>
      <c r="C58" s="6">
        <v>230902.0</v>
      </c>
      <c r="D58" s="7">
        <v>15350.0</v>
      </c>
      <c r="E58" s="7">
        <v>13210.0</v>
      </c>
      <c r="F58" s="8">
        <f t="shared" si="1"/>
        <v>0.8605863192</v>
      </c>
      <c r="G58" s="8" t="str">
        <f t="shared" si="2"/>
        <v>GOOD</v>
      </c>
      <c r="H58" s="9">
        <v>2.3</v>
      </c>
      <c r="I58" s="9">
        <v>135.0</v>
      </c>
      <c r="J58" s="9" t="str">
        <f t="array" ref="J58">IFS(I58&gt;299,"High HP",I58&gt;99,"Medium HP",I58&lt;100,"Low HP")</f>
        <v>Medium HP</v>
      </c>
      <c r="K58" s="9" t="s">
        <v>21</v>
      </c>
      <c r="L58" s="9">
        <v>27.0</v>
      </c>
      <c r="M58" s="9">
        <v>54.26954829</v>
      </c>
      <c r="N58" s="9">
        <v>106.9</v>
      </c>
      <c r="O58" s="9">
        <v>70.3</v>
      </c>
      <c r="P58" s="9">
        <v>188.8</v>
      </c>
      <c r="Q58" s="9">
        <v>2.932</v>
      </c>
      <c r="R58" s="9">
        <v>17.1</v>
      </c>
      <c r="S58" s="10">
        <v>41049.0</v>
      </c>
    </row>
    <row r="59" ht="15.75" customHeight="1">
      <c r="A59" s="4" t="s">
        <v>85</v>
      </c>
      <c r="B59" s="5" t="s">
        <v>88</v>
      </c>
      <c r="C59" s="6">
        <v>73203.0</v>
      </c>
      <c r="D59" s="7">
        <v>20550.0</v>
      </c>
      <c r="E59" s="7">
        <v>17710.0</v>
      </c>
      <c r="F59" s="8">
        <f t="shared" si="1"/>
        <v>0.8618004866</v>
      </c>
      <c r="G59" s="8" t="str">
        <f t="shared" si="2"/>
        <v>GOOD</v>
      </c>
      <c r="H59" s="9">
        <v>2.0</v>
      </c>
      <c r="I59" s="9">
        <v>146.0</v>
      </c>
      <c r="J59" s="9" t="str">
        <f t="array" ref="J59">IFS(I59&gt;299,"High HP",I59&gt;99,"Medium HP",I59&lt;100,"Low HP")</f>
        <v>Medium HP</v>
      </c>
      <c r="K59" s="9" t="s">
        <v>43</v>
      </c>
      <c r="L59" s="9">
        <v>24.0</v>
      </c>
      <c r="M59" s="9">
        <v>60.08796662</v>
      </c>
      <c r="N59" s="9">
        <v>103.2</v>
      </c>
      <c r="O59" s="9">
        <v>68.9</v>
      </c>
      <c r="P59" s="9">
        <v>177.6</v>
      </c>
      <c r="Q59" s="9">
        <v>3.219</v>
      </c>
      <c r="R59" s="9">
        <v>15.3</v>
      </c>
      <c r="S59" s="10">
        <v>40989.0</v>
      </c>
    </row>
    <row r="60" ht="15.75" customHeight="1">
      <c r="A60" s="4" t="s">
        <v>85</v>
      </c>
      <c r="B60" s="5" t="s">
        <v>89</v>
      </c>
      <c r="C60" s="6">
        <v>12855.0</v>
      </c>
      <c r="D60" s="7">
        <v>26600.0</v>
      </c>
      <c r="E60" s="7">
        <v>17525.0</v>
      </c>
      <c r="F60" s="8">
        <f t="shared" si="1"/>
        <v>0.6588345865</v>
      </c>
      <c r="G60" s="8" t="str">
        <f t="shared" si="2"/>
        <v>POOR</v>
      </c>
      <c r="H60" s="9">
        <v>3.2</v>
      </c>
      <c r="I60" s="9">
        <v>205.0</v>
      </c>
      <c r="J60" s="9" t="str">
        <f t="array" ref="J60">IFS(I60&gt;299,"High HP",I60&gt;99,"Medium HP",I60&lt;100,"Low HP")</f>
        <v>Medium HP</v>
      </c>
      <c r="K60" s="9" t="s">
        <v>43</v>
      </c>
      <c r="L60" s="9">
        <v>19.0</v>
      </c>
      <c r="M60" s="9">
        <v>83.6025008</v>
      </c>
      <c r="N60" s="9">
        <v>106.4</v>
      </c>
      <c r="O60" s="9">
        <v>70.4</v>
      </c>
      <c r="P60" s="9">
        <v>178.2</v>
      </c>
      <c r="Q60" s="9">
        <v>3.857</v>
      </c>
      <c r="R60" s="9">
        <v>21.1</v>
      </c>
      <c r="S60" s="10">
        <v>41191.0</v>
      </c>
    </row>
    <row r="61" ht="15.75" customHeight="1">
      <c r="A61" s="4" t="s">
        <v>85</v>
      </c>
      <c r="B61" s="5" t="s">
        <v>90</v>
      </c>
      <c r="C61" s="6">
        <v>76029.0</v>
      </c>
      <c r="D61" s="7">
        <v>26000.0</v>
      </c>
      <c r="E61" s="7">
        <v>19490.0</v>
      </c>
      <c r="F61" s="8">
        <f t="shared" si="1"/>
        <v>0.7496153846</v>
      </c>
      <c r="G61" s="8" t="str">
        <f t="shared" si="2"/>
        <v>GOOD</v>
      </c>
      <c r="H61" s="9">
        <v>3.5</v>
      </c>
      <c r="I61" s="9">
        <v>210.0</v>
      </c>
      <c r="J61" s="9" t="str">
        <f t="array" ref="J61">IFS(I61&gt;299,"High HP",I61&gt;99,"Medium HP",I61&lt;100,"Low HP")</f>
        <v>Medium HP</v>
      </c>
      <c r="K61" s="9" t="s">
        <v>43</v>
      </c>
      <c r="L61" s="9">
        <v>23.0</v>
      </c>
      <c r="M61" s="9">
        <v>85.21769134</v>
      </c>
      <c r="N61" s="9">
        <v>118.1</v>
      </c>
      <c r="O61" s="9">
        <v>75.6</v>
      </c>
      <c r="P61" s="9">
        <v>201.2</v>
      </c>
      <c r="Q61" s="9">
        <v>4.288</v>
      </c>
      <c r="R61" s="9">
        <v>20.0</v>
      </c>
      <c r="S61" s="10">
        <v>40947.0</v>
      </c>
    </row>
    <row r="62" ht="15.75" customHeight="1">
      <c r="A62" s="4" t="s">
        <v>91</v>
      </c>
      <c r="B62" s="5" t="s">
        <v>92</v>
      </c>
      <c r="C62" s="6">
        <v>41184.0</v>
      </c>
      <c r="D62" s="7">
        <v>9699.0</v>
      </c>
      <c r="E62" s="7">
        <v>5860.0</v>
      </c>
      <c r="F62" s="8">
        <f t="shared" si="1"/>
        <v>0.6041859986</v>
      </c>
      <c r="G62" s="8" t="str">
        <f t="shared" si="2"/>
        <v>POOR</v>
      </c>
      <c r="H62" s="9">
        <v>1.5</v>
      </c>
      <c r="I62" s="9">
        <v>92.0</v>
      </c>
      <c r="J62" s="9" t="str">
        <f t="array" ref="J62">IFS(I62&gt;299,"High HP",I62&gt;99,"Medium HP",I62&lt;100,"Low HP")</f>
        <v>Low HP</v>
      </c>
      <c r="K62" s="9" t="s">
        <v>21</v>
      </c>
      <c r="L62" s="9">
        <v>31.0</v>
      </c>
      <c r="M62" s="9">
        <v>36.67228358</v>
      </c>
      <c r="N62" s="9">
        <v>96.1</v>
      </c>
      <c r="O62" s="9">
        <v>65.7</v>
      </c>
      <c r="P62" s="9">
        <v>166.7</v>
      </c>
      <c r="Q62" s="9">
        <v>2.24</v>
      </c>
      <c r="R62" s="9">
        <v>11.9</v>
      </c>
      <c r="S62" s="10">
        <v>41162.0</v>
      </c>
    </row>
    <row r="63" ht="15.75" customHeight="1">
      <c r="A63" s="4" t="s">
        <v>91</v>
      </c>
      <c r="B63" s="5" t="s">
        <v>93</v>
      </c>
      <c r="C63" s="6">
        <v>66692.0</v>
      </c>
      <c r="D63" s="7">
        <v>11799.0</v>
      </c>
      <c r="E63" s="7">
        <v>7825.0</v>
      </c>
      <c r="F63" s="8">
        <f t="shared" si="1"/>
        <v>0.6631917959</v>
      </c>
      <c r="G63" s="8" t="str">
        <f t="shared" si="2"/>
        <v>POOR</v>
      </c>
      <c r="H63" s="9">
        <v>2.0</v>
      </c>
      <c r="I63" s="9">
        <v>140.0</v>
      </c>
      <c r="J63" s="9" t="str">
        <f t="array" ref="J63">IFS(I63&gt;299,"High HP",I63&gt;99,"Medium HP",I63&lt;100,"Low HP")</f>
        <v>Medium HP</v>
      </c>
      <c r="K63" s="9" t="s">
        <v>21</v>
      </c>
      <c r="L63" s="9">
        <v>27.0</v>
      </c>
      <c r="M63" s="9">
        <v>54.59004516</v>
      </c>
      <c r="N63" s="9">
        <v>100.4</v>
      </c>
      <c r="O63" s="9">
        <v>66.9</v>
      </c>
      <c r="P63" s="9">
        <v>174.0</v>
      </c>
      <c r="Q63" s="9">
        <v>2.626</v>
      </c>
      <c r="R63" s="9">
        <v>14.5</v>
      </c>
      <c r="S63" s="10">
        <v>40862.0</v>
      </c>
    </row>
    <row r="64" ht="15.75" customHeight="1">
      <c r="A64" s="4" t="s">
        <v>91</v>
      </c>
      <c r="B64" s="5" t="s">
        <v>94</v>
      </c>
      <c r="C64" s="6">
        <v>29450.0</v>
      </c>
      <c r="D64" s="7">
        <v>14999.0</v>
      </c>
      <c r="E64" s="7">
        <v>8910.0</v>
      </c>
      <c r="F64" s="8">
        <f t="shared" si="1"/>
        <v>0.5940396026</v>
      </c>
      <c r="G64" s="8" t="str">
        <f t="shared" si="2"/>
        <v>POOR</v>
      </c>
      <c r="H64" s="9">
        <v>2.4</v>
      </c>
      <c r="I64" s="9">
        <v>148.0</v>
      </c>
      <c r="J64" s="9" t="str">
        <f t="array" ref="J64">IFS(I64&gt;299,"High HP",I64&gt;99,"Medium HP",I64&lt;100,"Low HP")</f>
        <v>Medium HP</v>
      </c>
      <c r="K64" s="9" t="s">
        <v>21</v>
      </c>
      <c r="L64" s="9">
        <v>25.0</v>
      </c>
      <c r="M64" s="9">
        <v>58.758249</v>
      </c>
      <c r="N64" s="9">
        <v>106.3</v>
      </c>
      <c r="O64" s="9">
        <v>71.6</v>
      </c>
      <c r="P64" s="9">
        <v>185.4</v>
      </c>
      <c r="Q64" s="9">
        <v>3.072</v>
      </c>
      <c r="R64" s="9">
        <v>17.2</v>
      </c>
      <c r="S64" s="10">
        <v>41074.0</v>
      </c>
    </row>
    <row r="65" ht="15.75" customHeight="1">
      <c r="A65" s="4" t="s">
        <v>95</v>
      </c>
      <c r="B65" s="5" t="s">
        <v>96</v>
      </c>
      <c r="C65" s="6">
        <v>23713.0</v>
      </c>
      <c r="D65" s="7">
        <v>29465.0</v>
      </c>
      <c r="E65" s="7">
        <v>19690.0</v>
      </c>
      <c r="F65" s="8">
        <f t="shared" si="1"/>
        <v>0.6682504667</v>
      </c>
      <c r="G65" s="8" t="str">
        <f t="shared" si="2"/>
        <v>POOR</v>
      </c>
      <c r="H65" s="9">
        <v>3.0</v>
      </c>
      <c r="I65" s="9">
        <v>227.0</v>
      </c>
      <c r="J65" s="9" t="str">
        <f t="array" ref="J65">IFS(I65&gt;299,"High HP",I65&gt;99,"Medium HP",I65&lt;100,"Low HP")</f>
        <v>Medium HP</v>
      </c>
      <c r="K65" s="9" t="s">
        <v>21</v>
      </c>
      <c r="L65" s="9">
        <v>25.0</v>
      </c>
      <c r="M65" s="9">
        <v>92.43688923</v>
      </c>
      <c r="N65" s="9">
        <v>108.3</v>
      </c>
      <c r="O65" s="9">
        <v>70.2</v>
      </c>
      <c r="P65" s="9">
        <v>193.7</v>
      </c>
      <c r="Q65" s="9">
        <v>3.342</v>
      </c>
      <c r="R65" s="9">
        <v>18.5</v>
      </c>
      <c r="S65" s="10">
        <v>41014.0</v>
      </c>
    </row>
    <row r="66" ht="15.75" customHeight="1">
      <c r="A66" s="4" t="s">
        <v>97</v>
      </c>
      <c r="B66" s="5" t="s">
        <v>98</v>
      </c>
      <c r="C66" s="6">
        <v>15467.0</v>
      </c>
      <c r="D66" s="7">
        <v>42800.0</v>
      </c>
      <c r="E66" s="7">
        <v>33219.0</v>
      </c>
      <c r="F66" s="8">
        <f t="shared" si="1"/>
        <v>0.7761448598</v>
      </c>
      <c r="G66" s="8" t="str">
        <f t="shared" si="2"/>
        <v>GOOD</v>
      </c>
      <c r="H66" s="9">
        <v>3.0</v>
      </c>
      <c r="I66" s="9">
        <v>240.0</v>
      </c>
      <c r="J66" s="9" t="str">
        <f t="array" ref="J66">IFS(I66&gt;299,"High HP",I66&gt;99,"Medium HP",I66&lt;100,"Low HP")</f>
        <v>Medium HP</v>
      </c>
      <c r="K66" s="9" t="s">
        <v>21</v>
      </c>
      <c r="L66" s="9">
        <v>21.0</v>
      </c>
      <c r="M66" s="9">
        <v>102.1789848</v>
      </c>
      <c r="N66" s="9">
        <v>114.5</v>
      </c>
      <c r="O66" s="9">
        <v>71.6</v>
      </c>
      <c r="P66" s="9">
        <v>191.3</v>
      </c>
      <c r="Q66" s="9">
        <v>3.65</v>
      </c>
      <c r="R66" s="9">
        <v>18.4</v>
      </c>
      <c r="S66" s="10">
        <v>41216.0</v>
      </c>
    </row>
    <row r="67" ht="15.75" customHeight="1">
      <c r="A67" s="4" t="s">
        <v>99</v>
      </c>
      <c r="B67" s="5" t="s">
        <v>100</v>
      </c>
      <c r="C67" s="6">
        <v>55557.0</v>
      </c>
      <c r="D67" s="7">
        <v>14460.0</v>
      </c>
      <c r="E67" s="7">
        <v>13475.0</v>
      </c>
      <c r="F67" s="8">
        <f t="shared" si="1"/>
        <v>0.9318810512</v>
      </c>
      <c r="G67" s="8" t="str">
        <f t="shared" si="2"/>
        <v>GOOD</v>
      </c>
      <c r="H67" s="9">
        <v>2.5</v>
      </c>
      <c r="I67" s="9">
        <v>120.0</v>
      </c>
      <c r="J67" s="9" t="str">
        <f t="array" ref="J67">IFS(I67&gt;299,"High HP",I67&gt;99,"Medium HP",I67&lt;100,"Low HP")</f>
        <v>Medium HP</v>
      </c>
      <c r="K67" s="9" t="s">
        <v>43</v>
      </c>
      <c r="L67" s="9">
        <v>17.0</v>
      </c>
      <c r="M67" s="9">
        <v>48.67289791</v>
      </c>
      <c r="N67" s="9">
        <v>93.4</v>
      </c>
      <c r="O67" s="9">
        <v>66.7</v>
      </c>
      <c r="P67" s="9">
        <v>152.0</v>
      </c>
      <c r="Q67" s="9">
        <v>3.045</v>
      </c>
      <c r="R67" s="9">
        <v>19.0</v>
      </c>
      <c r="S67" s="10">
        <v>40972.0</v>
      </c>
    </row>
    <row r="68" ht="15.75" customHeight="1">
      <c r="A68" s="4" t="s">
        <v>99</v>
      </c>
      <c r="B68" s="5" t="s">
        <v>101</v>
      </c>
      <c r="C68" s="6">
        <v>80556.0</v>
      </c>
      <c r="D68" s="7">
        <v>21620.0</v>
      </c>
      <c r="E68" s="7">
        <v>13775.0</v>
      </c>
      <c r="F68" s="8">
        <f t="shared" si="1"/>
        <v>0.6371415356</v>
      </c>
      <c r="G68" s="8" t="str">
        <f t="shared" si="2"/>
        <v>POOR</v>
      </c>
      <c r="H68" s="9">
        <v>4.0</v>
      </c>
      <c r="I68" s="9">
        <v>190.0</v>
      </c>
      <c r="J68" s="9" t="str">
        <f t="array" ref="J68">IFS(I68&gt;299,"High HP",I68&gt;99,"Medium HP",I68&lt;100,"Low HP")</f>
        <v>Medium HP</v>
      </c>
      <c r="K68" s="9" t="s">
        <v>43</v>
      </c>
      <c r="L68" s="9">
        <v>20.0</v>
      </c>
      <c r="M68" s="9">
        <v>76.58443962</v>
      </c>
      <c r="N68" s="9">
        <v>101.4</v>
      </c>
      <c r="O68" s="9">
        <v>69.4</v>
      </c>
      <c r="P68" s="9">
        <v>167.5</v>
      </c>
      <c r="Q68" s="9">
        <v>3.194</v>
      </c>
      <c r="R68" s="9">
        <v>20.0</v>
      </c>
      <c r="S68" s="10">
        <v>41187.0</v>
      </c>
    </row>
    <row r="69" ht="15.75" customHeight="1">
      <c r="A69" s="4" t="s">
        <v>99</v>
      </c>
      <c r="B69" s="5" t="s">
        <v>102</v>
      </c>
      <c r="C69" s="6">
        <v>157040.0</v>
      </c>
      <c r="D69" s="7">
        <v>26895.0</v>
      </c>
      <c r="E69" s="7">
        <v>18810.0</v>
      </c>
      <c r="F69" s="8">
        <f t="shared" si="1"/>
        <v>0.6993865031</v>
      </c>
      <c r="G69" s="8" t="str">
        <f t="shared" si="2"/>
        <v>GOOD</v>
      </c>
      <c r="H69" s="9">
        <v>4.0</v>
      </c>
      <c r="I69" s="9">
        <v>195.0</v>
      </c>
      <c r="J69" s="9" t="str">
        <f t="array" ref="J69">IFS(I69&gt;299,"High HP",I69&gt;99,"Medium HP",I69&lt;100,"Low HP")</f>
        <v>Medium HP</v>
      </c>
      <c r="K69" s="9" t="s">
        <v>43</v>
      </c>
      <c r="L69" s="9">
        <v>19.0</v>
      </c>
      <c r="M69" s="9">
        <v>80.38777912</v>
      </c>
      <c r="N69" s="9">
        <v>105.9</v>
      </c>
      <c r="O69" s="9">
        <v>72.3</v>
      </c>
      <c r="P69" s="9">
        <v>181.5</v>
      </c>
      <c r="Q69" s="9">
        <v>3.88</v>
      </c>
      <c r="R69" s="9">
        <v>20.5</v>
      </c>
      <c r="S69" s="10">
        <v>40887.0</v>
      </c>
    </row>
    <row r="70" ht="15.75" customHeight="1">
      <c r="A70" s="4" t="s">
        <v>103</v>
      </c>
      <c r="B70" s="5" t="s">
        <v>104</v>
      </c>
      <c r="C70" s="6">
        <v>24072.0</v>
      </c>
      <c r="D70" s="7">
        <v>31505.0</v>
      </c>
      <c r="E70" s="7">
        <v>26975.0</v>
      </c>
      <c r="F70" s="8">
        <f t="shared" si="1"/>
        <v>0.8562132995</v>
      </c>
      <c r="G70" s="8" t="str">
        <f t="shared" si="2"/>
        <v>GOOD</v>
      </c>
      <c r="H70" s="9">
        <v>3.0</v>
      </c>
      <c r="I70" s="9">
        <v>210.0</v>
      </c>
      <c r="J70" s="9" t="str">
        <f t="array" ref="J70">IFS(I70&gt;299,"High HP",I70&gt;99,"Medium HP",I70&lt;100,"Low HP")</f>
        <v>Medium HP</v>
      </c>
      <c r="K70" s="9" t="s">
        <v>21</v>
      </c>
      <c r="L70" s="9">
        <v>23.0</v>
      </c>
      <c r="M70" s="9">
        <v>87.21100104</v>
      </c>
      <c r="N70" s="9">
        <v>105.1</v>
      </c>
      <c r="O70" s="9">
        <v>70.5</v>
      </c>
      <c r="P70" s="9">
        <v>190.2</v>
      </c>
      <c r="Q70" s="9">
        <v>3.373</v>
      </c>
      <c r="R70" s="9">
        <v>18.5</v>
      </c>
      <c r="S70" s="10">
        <v>41099.0</v>
      </c>
    </row>
    <row r="71" ht="15.75" customHeight="1">
      <c r="A71" s="4" t="s">
        <v>103</v>
      </c>
      <c r="B71" s="5" t="s">
        <v>105</v>
      </c>
      <c r="C71" s="6">
        <v>12698.0</v>
      </c>
      <c r="D71" s="7">
        <v>37805.0</v>
      </c>
      <c r="E71" s="7">
        <v>32075.000000000004</v>
      </c>
      <c r="F71" s="8">
        <f t="shared" si="1"/>
        <v>0.848432747</v>
      </c>
      <c r="G71" s="8" t="str">
        <f t="shared" si="2"/>
        <v>GOOD</v>
      </c>
      <c r="H71" s="9">
        <v>3.0</v>
      </c>
      <c r="I71" s="9">
        <v>225.0</v>
      </c>
      <c r="J71" s="9" t="str">
        <f t="array" ref="J71">IFS(I71&gt;299,"High HP",I71&gt;99,"Medium HP",I71&lt;100,"Low HP")</f>
        <v>Medium HP</v>
      </c>
      <c r="K71" s="9" t="s">
        <v>21</v>
      </c>
      <c r="L71" s="9">
        <v>23.0</v>
      </c>
      <c r="M71" s="9">
        <v>94.9466984</v>
      </c>
      <c r="N71" s="9">
        <v>110.2</v>
      </c>
      <c r="O71" s="9">
        <v>70.9</v>
      </c>
      <c r="P71" s="9">
        <v>189.2</v>
      </c>
      <c r="Q71" s="9">
        <v>3.638</v>
      </c>
      <c r="R71" s="9">
        <v>19.8</v>
      </c>
      <c r="S71" s="10">
        <v>41039.0</v>
      </c>
    </row>
    <row r="72" ht="15.75" customHeight="1">
      <c r="A72" s="4" t="s">
        <v>103</v>
      </c>
      <c r="B72" s="5" t="s">
        <v>106</v>
      </c>
      <c r="C72" s="6">
        <v>3334.0</v>
      </c>
      <c r="D72" s="7">
        <v>46305.0</v>
      </c>
      <c r="E72" s="7">
        <v>38955.0</v>
      </c>
      <c r="F72" s="8">
        <f t="shared" si="1"/>
        <v>0.8412698413</v>
      </c>
      <c r="G72" s="8" t="str">
        <f t="shared" si="2"/>
        <v>GOOD</v>
      </c>
      <c r="H72" s="9">
        <v>4.0</v>
      </c>
      <c r="I72" s="9">
        <v>300.0</v>
      </c>
      <c r="J72" s="9" t="str">
        <f t="array" ref="J72">IFS(I72&gt;299,"High HP",I72&gt;99,"Medium HP",I72&lt;100,"Low HP")</f>
        <v>High HP</v>
      </c>
      <c r="K72" s="9" t="s">
        <v>21</v>
      </c>
      <c r="L72" s="9">
        <v>21.0</v>
      </c>
      <c r="M72" s="9">
        <v>125.0133574</v>
      </c>
      <c r="N72" s="9">
        <v>110.2</v>
      </c>
      <c r="O72" s="9">
        <v>70.9</v>
      </c>
      <c r="P72" s="9">
        <v>189.2</v>
      </c>
      <c r="Q72" s="9">
        <v>3.693</v>
      </c>
      <c r="R72" s="9">
        <v>19.8</v>
      </c>
      <c r="S72" s="10">
        <v>41241.0</v>
      </c>
    </row>
    <row r="73" ht="15.75" customHeight="1">
      <c r="A73" s="4" t="s">
        <v>103</v>
      </c>
      <c r="B73" s="5" t="s">
        <v>107</v>
      </c>
      <c r="C73" s="6">
        <v>6375.0</v>
      </c>
      <c r="D73" s="7">
        <v>54005.0</v>
      </c>
      <c r="E73" s="7">
        <v>40375.0</v>
      </c>
      <c r="F73" s="8">
        <f t="shared" si="1"/>
        <v>0.7476159615</v>
      </c>
      <c r="G73" s="8" t="str">
        <f t="shared" si="2"/>
        <v>GOOD</v>
      </c>
      <c r="H73" s="9">
        <v>4.0</v>
      </c>
      <c r="I73" s="9">
        <v>290.0</v>
      </c>
      <c r="J73" s="9" t="str">
        <f t="array" ref="J73">IFS(I73&gt;299,"High HP",I73&gt;99,"Medium HP",I73&lt;100,"Low HP")</f>
        <v>Medium HP</v>
      </c>
      <c r="K73" s="9" t="s">
        <v>21</v>
      </c>
      <c r="L73" s="9">
        <v>22.0</v>
      </c>
      <c r="M73" s="9">
        <v>124.4467163</v>
      </c>
      <c r="N73" s="9">
        <v>112.2</v>
      </c>
      <c r="O73" s="9">
        <v>72.0</v>
      </c>
      <c r="P73" s="9">
        <v>196.7</v>
      </c>
      <c r="Q73" s="9">
        <v>3.89</v>
      </c>
      <c r="R73" s="9">
        <v>22.5</v>
      </c>
      <c r="S73" s="10">
        <v>40997.0</v>
      </c>
    </row>
    <row r="74" ht="15.75" customHeight="1">
      <c r="A74" s="4" t="s">
        <v>103</v>
      </c>
      <c r="B74" s="5" t="s">
        <v>108</v>
      </c>
      <c r="C74" s="6">
        <v>9126.0</v>
      </c>
      <c r="D74" s="7">
        <v>60105.0</v>
      </c>
      <c r="E74" s="7">
        <v>43870.0</v>
      </c>
      <c r="F74" s="8">
        <f t="shared" si="1"/>
        <v>0.7298893603</v>
      </c>
      <c r="G74" s="8" t="str">
        <f t="shared" si="2"/>
        <v>GOOD</v>
      </c>
      <c r="H74" s="9">
        <v>4.7</v>
      </c>
      <c r="I74" s="9">
        <v>230.0</v>
      </c>
      <c r="J74" s="9" t="str">
        <f t="array" ref="J74">IFS(I74&gt;299,"High HP",I74&gt;99,"Medium HP",I74&lt;100,"Low HP")</f>
        <v>Medium HP</v>
      </c>
      <c r="K74" s="9" t="s">
        <v>43</v>
      </c>
      <c r="L74" s="9">
        <v>15.0</v>
      </c>
      <c r="M74" s="9">
        <v>105.760458</v>
      </c>
      <c r="N74" s="9">
        <v>112.2</v>
      </c>
      <c r="O74" s="9">
        <v>76.4</v>
      </c>
      <c r="P74" s="9">
        <v>192.5</v>
      </c>
      <c r="Q74" s="9">
        <v>5.401</v>
      </c>
      <c r="R74" s="9">
        <v>25.4</v>
      </c>
      <c r="S74" s="10">
        <v>41212.0</v>
      </c>
    </row>
    <row r="75" ht="15.75" customHeight="1">
      <c r="A75" s="4" t="s">
        <v>103</v>
      </c>
      <c r="B75" s="5" t="s">
        <v>109</v>
      </c>
      <c r="C75" s="6">
        <v>51238.0</v>
      </c>
      <c r="D75" s="7">
        <v>34605.0</v>
      </c>
      <c r="E75" s="7">
        <v>29140.0</v>
      </c>
      <c r="F75" s="8">
        <f t="shared" si="1"/>
        <v>0.8420748447</v>
      </c>
      <c r="G75" s="8" t="str">
        <f t="shared" si="2"/>
        <v>GOOD</v>
      </c>
      <c r="H75" s="9">
        <v>3.0</v>
      </c>
      <c r="I75" s="9">
        <v>220.0</v>
      </c>
      <c r="J75" s="9" t="str">
        <f t="array" ref="J75">IFS(I75&gt;299,"High HP",I75&gt;99,"Medium HP",I75&lt;100,"Low HP")</f>
        <v>Medium HP</v>
      </c>
      <c r="K75" s="9" t="s">
        <v>43</v>
      </c>
      <c r="L75" s="9">
        <v>21.0</v>
      </c>
      <c r="M75" s="9">
        <v>91.94380156</v>
      </c>
      <c r="N75" s="9">
        <v>103.0</v>
      </c>
      <c r="O75" s="9">
        <v>71.5</v>
      </c>
      <c r="P75" s="9">
        <v>180.1</v>
      </c>
      <c r="Q75" s="9">
        <v>3.9</v>
      </c>
      <c r="R75" s="9">
        <v>17.2</v>
      </c>
      <c r="S75" s="10">
        <v>40912.0</v>
      </c>
    </row>
    <row r="76" ht="15.75" customHeight="1">
      <c r="A76" s="4" t="s">
        <v>110</v>
      </c>
      <c r="B76" s="5" t="s">
        <v>111</v>
      </c>
      <c r="C76" s="6">
        <v>13798.0</v>
      </c>
      <c r="D76" s="7">
        <v>39080.0</v>
      </c>
      <c r="E76" s="7">
        <v>20525.0</v>
      </c>
      <c r="F76" s="8">
        <f t="shared" si="1"/>
        <v>0.5252047083</v>
      </c>
      <c r="G76" s="8" t="str">
        <f t="shared" si="2"/>
        <v>POOR</v>
      </c>
      <c r="H76" s="9">
        <v>4.6</v>
      </c>
      <c r="I76" s="9">
        <v>275.0</v>
      </c>
      <c r="J76" s="9" t="str">
        <f t="array" ref="J76">IFS(I76&gt;299,"High HP",I76&gt;99,"Medium HP",I76&lt;100,"Low HP")</f>
        <v>Medium HP</v>
      </c>
      <c r="K76" s="9" t="s">
        <v>21</v>
      </c>
      <c r="L76" s="9">
        <v>22.0</v>
      </c>
      <c r="M76" s="9">
        <v>113.5402069</v>
      </c>
      <c r="N76" s="9">
        <v>109.0</v>
      </c>
      <c r="O76" s="9">
        <v>73.6</v>
      </c>
      <c r="P76" s="9">
        <v>208.5</v>
      </c>
      <c r="Q76" s="9">
        <v>3.868</v>
      </c>
      <c r="R76" s="9">
        <v>20.0</v>
      </c>
      <c r="S76" s="10">
        <v>41124.0</v>
      </c>
    </row>
    <row r="77" ht="15.75" customHeight="1">
      <c r="A77" s="4" t="s">
        <v>110</v>
      </c>
      <c r="B77" s="5" t="s">
        <v>112</v>
      </c>
      <c r="C77" s="6">
        <v>48911.0</v>
      </c>
      <c r="D77" s="7">
        <v>43330.0</v>
      </c>
      <c r="E77" s="7">
        <v>21725.0</v>
      </c>
      <c r="F77" s="8">
        <f t="shared" si="1"/>
        <v>0.5013847219</v>
      </c>
      <c r="G77" s="8" t="str">
        <f t="shared" si="2"/>
        <v>POOR</v>
      </c>
      <c r="H77" s="9">
        <v>4.6</v>
      </c>
      <c r="I77" s="9">
        <v>215.0</v>
      </c>
      <c r="J77" s="9" t="str">
        <f t="array" ref="J77">IFS(I77&gt;299,"High HP",I77&gt;99,"Medium HP",I77&lt;100,"Low HP")</f>
        <v>Medium HP</v>
      </c>
      <c r="K77" s="9" t="s">
        <v>21</v>
      </c>
      <c r="L77" s="9">
        <v>21.0</v>
      </c>
      <c r="M77" s="9">
        <v>93.9579169</v>
      </c>
      <c r="N77" s="9">
        <v>117.7</v>
      </c>
      <c r="O77" s="9">
        <v>78.2</v>
      </c>
      <c r="P77" s="9">
        <v>215.3</v>
      </c>
      <c r="Q77" s="9">
        <v>4.121</v>
      </c>
      <c r="R77" s="9">
        <v>19.0</v>
      </c>
      <c r="S77" s="10">
        <v>41064.0</v>
      </c>
    </row>
    <row r="78" ht="15.75" customHeight="1">
      <c r="A78" s="4" t="s">
        <v>110</v>
      </c>
      <c r="B78" s="5" t="s">
        <v>113</v>
      </c>
      <c r="C78" s="6">
        <v>22925.0</v>
      </c>
      <c r="D78" s="7">
        <v>42660.0</v>
      </c>
      <c r="E78" s="7">
        <v>20765.0</v>
      </c>
      <c r="F78" s="8">
        <f t="shared" si="1"/>
        <v>0.4867557431</v>
      </c>
      <c r="G78" s="8" t="str">
        <f t="shared" si="2"/>
        <v>POOR</v>
      </c>
      <c r="H78" s="9">
        <v>5.4</v>
      </c>
      <c r="I78" s="9">
        <v>300.0</v>
      </c>
      <c r="J78" s="9" t="str">
        <f t="array" ref="J78">IFS(I78&gt;299,"High HP",I78&gt;99,"Medium HP",I78&lt;100,"Low HP")</f>
        <v>High HP</v>
      </c>
      <c r="K78" s="9" t="s">
        <v>43</v>
      </c>
      <c r="L78" s="9">
        <v>15.0</v>
      </c>
      <c r="M78" s="9">
        <v>123.9720467</v>
      </c>
      <c r="N78" s="9">
        <v>119.0</v>
      </c>
      <c r="O78" s="9">
        <v>79.9</v>
      </c>
      <c r="P78" s="9">
        <v>204.8</v>
      </c>
      <c r="Q78" s="9">
        <v>5.393</v>
      </c>
      <c r="R78" s="9">
        <v>30.0</v>
      </c>
      <c r="S78" s="10">
        <v>41266.0</v>
      </c>
    </row>
    <row r="79" ht="15.75" customHeight="1">
      <c r="A79" s="4" t="s">
        <v>114</v>
      </c>
      <c r="B79" s="5" t="s">
        <v>115</v>
      </c>
      <c r="C79" s="6">
        <v>26232.0</v>
      </c>
      <c r="D79" s="7">
        <v>13987.0</v>
      </c>
      <c r="E79" s="7">
        <v>8325.0</v>
      </c>
      <c r="F79" s="8">
        <f t="shared" si="1"/>
        <v>0.5951955387</v>
      </c>
      <c r="G79" s="8" t="str">
        <f t="shared" si="2"/>
        <v>POOR</v>
      </c>
      <c r="H79" s="9">
        <v>1.8</v>
      </c>
      <c r="I79" s="9">
        <v>113.0</v>
      </c>
      <c r="J79" s="9" t="str">
        <f t="array" ref="J79">IFS(I79&gt;299,"High HP",I79&gt;99,"Medium HP",I79&lt;100,"Low HP")</f>
        <v>Medium HP</v>
      </c>
      <c r="K79" s="9" t="s">
        <v>21</v>
      </c>
      <c r="L79" s="9">
        <v>30.0</v>
      </c>
      <c r="M79" s="9">
        <v>45.83218056</v>
      </c>
      <c r="N79" s="9">
        <v>98.4</v>
      </c>
      <c r="O79" s="9">
        <v>66.5</v>
      </c>
      <c r="P79" s="9">
        <v>173.6</v>
      </c>
      <c r="Q79" s="9">
        <v>2.25</v>
      </c>
      <c r="R79" s="9">
        <v>13.2</v>
      </c>
      <c r="S79" s="10">
        <v>41022.0</v>
      </c>
    </row>
    <row r="80" ht="15.75" customHeight="1">
      <c r="A80" s="4" t="s">
        <v>114</v>
      </c>
      <c r="B80" s="5" t="s">
        <v>116</v>
      </c>
      <c r="C80" s="6">
        <v>42541.0</v>
      </c>
      <c r="D80" s="7">
        <v>19047.0</v>
      </c>
      <c r="E80" s="7">
        <v>10395.0</v>
      </c>
      <c r="F80" s="8">
        <f t="shared" si="1"/>
        <v>0.545755237</v>
      </c>
      <c r="G80" s="8" t="str">
        <f t="shared" si="2"/>
        <v>POOR</v>
      </c>
      <c r="H80" s="9">
        <v>2.4</v>
      </c>
      <c r="I80" s="9">
        <v>154.0</v>
      </c>
      <c r="J80" s="9" t="str">
        <f t="array" ref="J80">IFS(I80&gt;299,"High HP",I80&gt;99,"Medium HP",I80&lt;100,"Low HP")</f>
        <v>Medium HP</v>
      </c>
      <c r="K80" s="9" t="s">
        <v>21</v>
      </c>
      <c r="L80" s="9">
        <v>24.0</v>
      </c>
      <c r="M80" s="9">
        <v>62.44196235</v>
      </c>
      <c r="N80" s="9">
        <v>100.8</v>
      </c>
      <c r="O80" s="9">
        <v>68.9</v>
      </c>
      <c r="P80" s="9">
        <v>175.4</v>
      </c>
      <c r="Q80" s="9">
        <v>2.91</v>
      </c>
      <c r="R80" s="9">
        <v>15.9</v>
      </c>
      <c r="S80" s="10">
        <v>41237.0</v>
      </c>
    </row>
    <row r="81" ht="15.75" customHeight="1">
      <c r="A81" s="4" t="s">
        <v>114</v>
      </c>
      <c r="B81" s="5" t="s">
        <v>117</v>
      </c>
      <c r="C81" s="6">
        <v>55616.0</v>
      </c>
      <c r="D81" s="7">
        <v>17357.0</v>
      </c>
      <c r="E81" s="7">
        <v>10595.0</v>
      </c>
      <c r="F81" s="8">
        <f t="shared" si="1"/>
        <v>0.6104165466</v>
      </c>
      <c r="G81" s="8" t="str">
        <f t="shared" si="2"/>
        <v>POOR</v>
      </c>
      <c r="H81" s="9">
        <v>2.4</v>
      </c>
      <c r="I81" s="9">
        <v>145.0</v>
      </c>
      <c r="J81" s="9" t="str">
        <f t="array" ref="J81">IFS(I81&gt;299,"High HP",I81&gt;99,"Medium HP",I81&lt;100,"Low HP")</f>
        <v>Medium HP</v>
      </c>
      <c r="K81" s="9" t="s">
        <v>21</v>
      </c>
      <c r="L81" s="9">
        <v>25.0</v>
      </c>
      <c r="M81" s="9">
        <v>58.60677292</v>
      </c>
      <c r="N81" s="9">
        <v>103.7</v>
      </c>
      <c r="O81" s="9">
        <v>68.5</v>
      </c>
      <c r="P81" s="9">
        <v>187.8</v>
      </c>
      <c r="Q81" s="9">
        <v>2.945</v>
      </c>
      <c r="R81" s="9">
        <v>16.3</v>
      </c>
      <c r="S81" s="10">
        <v>40937.0</v>
      </c>
    </row>
    <row r="82" ht="15.75" customHeight="1">
      <c r="A82" s="4" t="s">
        <v>114</v>
      </c>
      <c r="B82" s="5" t="s">
        <v>118</v>
      </c>
      <c r="C82" s="6">
        <v>5711.0</v>
      </c>
      <c r="D82" s="7">
        <v>24997.0</v>
      </c>
      <c r="E82" s="7">
        <v>16575.0</v>
      </c>
      <c r="F82" s="8">
        <f t="shared" si="1"/>
        <v>0.6630795695</v>
      </c>
      <c r="G82" s="8" t="str">
        <f t="shared" si="2"/>
        <v>POOR</v>
      </c>
      <c r="H82" s="9">
        <v>3.5</v>
      </c>
      <c r="I82" s="9">
        <v>210.0</v>
      </c>
      <c r="J82" s="9" t="str">
        <f t="array" ref="J82">IFS(I82&gt;299,"High HP",I82&gt;99,"Medium HP",I82&lt;100,"Low HP")</f>
        <v>Medium HP</v>
      </c>
      <c r="K82" s="9" t="s">
        <v>21</v>
      </c>
      <c r="L82" s="9">
        <v>22.0</v>
      </c>
      <c r="M82" s="9">
        <v>84.83077858</v>
      </c>
      <c r="N82" s="9">
        <v>107.1</v>
      </c>
      <c r="O82" s="9">
        <v>70.3</v>
      </c>
      <c r="P82" s="9">
        <v>194.1</v>
      </c>
      <c r="Q82" s="9">
        <v>3.443</v>
      </c>
      <c r="R82" s="9">
        <v>19.0</v>
      </c>
      <c r="S82" s="10">
        <v>41149.0</v>
      </c>
    </row>
    <row r="83" ht="15.75" customHeight="1">
      <c r="A83" s="4" t="s">
        <v>114</v>
      </c>
      <c r="B83" s="5" t="s">
        <v>119</v>
      </c>
      <c r="C83" s="6">
        <v>110.0</v>
      </c>
      <c r="D83" s="7">
        <v>25450.0</v>
      </c>
      <c r="E83" s="7">
        <v>20940.0</v>
      </c>
      <c r="F83" s="8">
        <f t="shared" si="1"/>
        <v>0.8227897839</v>
      </c>
      <c r="G83" s="8" t="str">
        <f t="shared" si="2"/>
        <v>GOOD</v>
      </c>
      <c r="H83" s="9">
        <v>3.0</v>
      </c>
      <c r="I83" s="9">
        <v>161.0</v>
      </c>
      <c r="J83" s="9" t="str">
        <f t="array" ref="J83">IFS(I83&gt;299,"High HP",I83&gt;99,"Medium HP",I83&lt;100,"Low HP")</f>
        <v>Medium HP</v>
      </c>
      <c r="K83" s="9" t="s">
        <v>21</v>
      </c>
      <c r="L83" s="9">
        <v>21.0</v>
      </c>
      <c r="M83" s="9">
        <v>67.54415494</v>
      </c>
      <c r="N83" s="9">
        <v>97.2</v>
      </c>
      <c r="O83" s="9">
        <v>72.4</v>
      </c>
      <c r="P83" s="9">
        <v>180.3</v>
      </c>
      <c r="Q83" s="9">
        <v>3.131</v>
      </c>
      <c r="R83" s="9">
        <v>19.8</v>
      </c>
      <c r="S83" s="10">
        <v>41089.0</v>
      </c>
    </row>
    <row r="84" ht="15.75" customHeight="1">
      <c r="A84" s="4" t="s">
        <v>114</v>
      </c>
      <c r="B84" s="5" t="s">
        <v>120</v>
      </c>
      <c r="C84" s="6">
        <v>11337.0</v>
      </c>
      <c r="D84" s="7">
        <v>31807.0</v>
      </c>
      <c r="E84" s="7">
        <v>19125.0</v>
      </c>
      <c r="F84" s="8">
        <f t="shared" si="1"/>
        <v>0.6012827365</v>
      </c>
      <c r="G84" s="8" t="str">
        <f t="shared" si="2"/>
        <v>POOR</v>
      </c>
      <c r="H84" s="9">
        <v>3.5</v>
      </c>
      <c r="I84" s="9">
        <v>200.0</v>
      </c>
      <c r="J84" s="9" t="str">
        <f t="array" ref="J84">IFS(I84&gt;299,"High HP",I84&gt;99,"Medium HP",I84&lt;100,"Low HP")</f>
        <v>Medium HP</v>
      </c>
      <c r="K84" s="9" t="s">
        <v>43</v>
      </c>
      <c r="L84" s="9">
        <v>18.0</v>
      </c>
      <c r="M84" s="9">
        <v>83.92081504</v>
      </c>
      <c r="N84" s="9">
        <v>107.3</v>
      </c>
      <c r="O84" s="9">
        <v>69.9</v>
      </c>
      <c r="P84" s="9">
        <v>186.6</v>
      </c>
      <c r="Q84" s="9">
        <v>4.52</v>
      </c>
      <c r="R84" s="9">
        <v>24.3</v>
      </c>
      <c r="S84" s="10">
        <v>40925.0</v>
      </c>
    </row>
    <row r="85" ht="15.75" customHeight="1">
      <c r="A85" s="4" t="s">
        <v>114</v>
      </c>
      <c r="B85" s="5" t="s">
        <v>121</v>
      </c>
      <c r="C85" s="6">
        <v>39348.0</v>
      </c>
      <c r="D85" s="7">
        <v>22527.0</v>
      </c>
      <c r="E85" s="7">
        <v>13880.0</v>
      </c>
      <c r="F85" s="8">
        <f t="shared" si="1"/>
        <v>0.6161495095</v>
      </c>
      <c r="G85" s="8" t="str">
        <f t="shared" si="2"/>
        <v>POOR</v>
      </c>
      <c r="H85" s="9">
        <v>3.0</v>
      </c>
      <c r="I85" s="9">
        <v>173.0</v>
      </c>
      <c r="J85" s="9" t="str">
        <f t="array" ref="J85">IFS(I85&gt;299,"High HP",I85&gt;99,"Medium HP",I85&lt;100,"Low HP")</f>
        <v>Medium HP</v>
      </c>
      <c r="K85" s="9" t="s">
        <v>43</v>
      </c>
      <c r="L85" s="9">
        <v>20.0</v>
      </c>
      <c r="M85" s="9">
        <v>70.66094179</v>
      </c>
      <c r="N85" s="9">
        <v>107.3</v>
      </c>
      <c r="O85" s="9">
        <v>66.7</v>
      </c>
      <c r="P85" s="9">
        <v>178.3</v>
      </c>
      <c r="Q85" s="9">
        <v>3.51</v>
      </c>
      <c r="R85" s="9">
        <v>19.5</v>
      </c>
      <c r="S85" s="10">
        <v>41047.0</v>
      </c>
    </row>
    <row r="86" ht="15.75" customHeight="1">
      <c r="A86" s="4" t="s">
        <v>122</v>
      </c>
      <c r="B86" s="5" t="s">
        <v>123</v>
      </c>
      <c r="C86" s="6">
        <v>14351.0</v>
      </c>
      <c r="D86" s="7">
        <v>16239.999999999998</v>
      </c>
      <c r="E86" s="7">
        <v>8800.0</v>
      </c>
      <c r="F86" s="8">
        <f t="shared" si="1"/>
        <v>0.5418719212</v>
      </c>
      <c r="G86" s="8" t="str">
        <f t="shared" si="2"/>
        <v>POOR</v>
      </c>
      <c r="H86" s="9">
        <v>2.0</v>
      </c>
      <c r="I86" s="9">
        <v>125.0</v>
      </c>
      <c r="J86" s="9" t="str">
        <f t="array" ref="J86">IFS(I86&gt;299,"High HP",I86&gt;99,"Medium HP",I86&lt;100,"Low HP")</f>
        <v>Medium HP</v>
      </c>
      <c r="K86" s="9" t="s">
        <v>21</v>
      </c>
      <c r="L86" s="9">
        <v>28.0</v>
      </c>
      <c r="M86" s="9">
        <v>50.99774761</v>
      </c>
      <c r="N86" s="9">
        <v>106.5</v>
      </c>
      <c r="O86" s="9">
        <v>69.1</v>
      </c>
      <c r="P86" s="9">
        <v>184.8</v>
      </c>
      <c r="Q86" s="9">
        <v>2.769</v>
      </c>
      <c r="R86" s="9">
        <v>15.0</v>
      </c>
      <c r="S86" s="10">
        <v>41262.0</v>
      </c>
    </row>
    <row r="87" ht="15.75" customHeight="1">
      <c r="A87" s="4" t="s">
        <v>122</v>
      </c>
      <c r="B87" s="5" t="s">
        <v>124</v>
      </c>
      <c r="C87" s="6">
        <v>26529.0</v>
      </c>
      <c r="D87" s="7">
        <v>16540.0</v>
      </c>
      <c r="E87" s="7">
        <v>13890.0</v>
      </c>
      <c r="F87" s="8">
        <f t="shared" si="1"/>
        <v>0.8397823458</v>
      </c>
      <c r="G87" s="8" t="str">
        <f t="shared" si="2"/>
        <v>GOOD</v>
      </c>
      <c r="H87" s="9">
        <v>2.0</v>
      </c>
      <c r="I87" s="9">
        <v>125.0</v>
      </c>
      <c r="J87" s="9" t="str">
        <f t="array" ref="J87">IFS(I87&gt;299,"High HP",I87&gt;99,"Medium HP",I87&lt;100,"Low HP")</f>
        <v>Medium HP</v>
      </c>
      <c r="K87" s="9" t="s">
        <v>21</v>
      </c>
      <c r="L87" s="9">
        <v>30.0</v>
      </c>
      <c r="M87" s="9">
        <v>51.11347426</v>
      </c>
      <c r="N87" s="9">
        <v>106.4</v>
      </c>
      <c r="O87" s="9">
        <v>69.6</v>
      </c>
      <c r="P87" s="9">
        <v>185.0</v>
      </c>
      <c r="Q87" s="9">
        <v>2.892</v>
      </c>
      <c r="R87" s="9">
        <v>16.0</v>
      </c>
      <c r="S87" s="10">
        <v>40962.0</v>
      </c>
    </row>
    <row r="88" ht="15.75" customHeight="1">
      <c r="A88" s="4" t="s">
        <v>122</v>
      </c>
      <c r="B88" s="5" t="s">
        <v>125</v>
      </c>
      <c r="C88" s="6">
        <v>67956.0</v>
      </c>
      <c r="D88" s="7">
        <v>19035.0</v>
      </c>
      <c r="E88" s="7">
        <v>11030.0</v>
      </c>
      <c r="F88" s="8">
        <f t="shared" si="1"/>
        <v>0.5794588915</v>
      </c>
      <c r="G88" s="8" t="str">
        <f t="shared" si="2"/>
        <v>POOR</v>
      </c>
      <c r="H88" s="9">
        <v>3.0</v>
      </c>
      <c r="I88" s="9">
        <v>153.0</v>
      </c>
      <c r="J88" s="9" t="str">
        <f t="array" ref="J88">IFS(I88&gt;299,"High HP",I88&gt;99,"Medium HP",I88&lt;100,"Low HP")</f>
        <v>Medium HP</v>
      </c>
      <c r="K88" s="9" t="s">
        <v>21</v>
      </c>
      <c r="L88" s="9">
        <v>24.0</v>
      </c>
      <c r="M88" s="9">
        <v>62.23996663</v>
      </c>
      <c r="N88" s="9">
        <v>108.5</v>
      </c>
      <c r="O88" s="9">
        <v>73.0</v>
      </c>
      <c r="P88" s="9">
        <v>199.7</v>
      </c>
      <c r="Q88" s="9">
        <v>3.379</v>
      </c>
      <c r="R88" s="9">
        <v>16.0</v>
      </c>
      <c r="S88" s="10">
        <v>41174.0</v>
      </c>
    </row>
    <row r="89" ht="15.75" customHeight="1">
      <c r="A89" s="4" t="s">
        <v>122</v>
      </c>
      <c r="B89" s="5" t="s">
        <v>126</v>
      </c>
      <c r="C89" s="6">
        <v>81174.0</v>
      </c>
      <c r="D89" s="7">
        <v>22605.0</v>
      </c>
      <c r="E89" s="7">
        <v>14875.0</v>
      </c>
      <c r="F89" s="8">
        <f t="shared" si="1"/>
        <v>0.6580402566</v>
      </c>
      <c r="G89" s="8" t="str">
        <f t="shared" si="2"/>
        <v>POOR</v>
      </c>
      <c r="H89" s="9">
        <v>4.6</v>
      </c>
      <c r="I89" s="9">
        <v>200.0</v>
      </c>
      <c r="J89" s="9" t="str">
        <f t="array" ref="J89">IFS(I89&gt;299,"High HP",I89&gt;99,"Medium HP",I89&lt;100,"Low HP")</f>
        <v>Medium HP</v>
      </c>
      <c r="K89" s="9" t="s">
        <v>21</v>
      </c>
      <c r="L89" s="9">
        <v>21.0</v>
      </c>
      <c r="M89" s="9">
        <v>80.65769646</v>
      </c>
      <c r="N89" s="9">
        <v>114.7</v>
      </c>
      <c r="O89" s="9">
        <v>78.2</v>
      </c>
      <c r="P89" s="9">
        <v>212.0</v>
      </c>
      <c r="Q89" s="9">
        <v>3.958</v>
      </c>
      <c r="R89" s="9">
        <v>19.0</v>
      </c>
      <c r="S89" s="10">
        <v>41114.0</v>
      </c>
    </row>
    <row r="90" ht="15.75" customHeight="1">
      <c r="A90" s="4" t="s">
        <v>122</v>
      </c>
      <c r="B90" s="5" t="s">
        <v>127</v>
      </c>
      <c r="C90" s="6">
        <v>27609.0</v>
      </c>
      <c r="D90" s="7">
        <v>27560.0</v>
      </c>
      <c r="E90" s="7">
        <v>20430.0</v>
      </c>
      <c r="F90" s="8">
        <f t="shared" si="1"/>
        <v>0.7412917271</v>
      </c>
      <c r="G90" s="8" t="str">
        <f t="shared" si="2"/>
        <v>GOOD</v>
      </c>
      <c r="H90" s="9">
        <v>4.0</v>
      </c>
      <c r="I90" s="9">
        <v>210.0</v>
      </c>
      <c r="J90" s="9" t="str">
        <f t="array" ref="J90">IFS(I90&gt;299,"High HP",I90&gt;99,"Medium HP",I90&lt;100,"Low HP")</f>
        <v>Medium HP</v>
      </c>
      <c r="K90" s="9" t="s">
        <v>43</v>
      </c>
      <c r="L90" s="9">
        <v>18.0</v>
      </c>
      <c r="M90" s="9">
        <v>85.94974425</v>
      </c>
      <c r="N90" s="9">
        <v>111.6</v>
      </c>
      <c r="O90" s="9">
        <v>70.2</v>
      </c>
      <c r="P90" s="9">
        <v>190.1</v>
      </c>
      <c r="Q90" s="9">
        <v>3.876</v>
      </c>
      <c r="R90" s="9">
        <v>21.0</v>
      </c>
      <c r="S90" s="10">
        <v>39491.0</v>
      </c>
    </row>
    <row r="91" ht="15.75" customHeight="1">
      <c r="A91" s="4" t="s">
        <v>122</v>
      </c>
      <c r="B91" s="5" t="s">
        <v>128</v>
      </c>
      <c r="C91" s="6">
        <v>20380.0</v>
      </c>
      <c r="D91" s="7">
        <v>22510.0</v>
      </c>
      <c r="E91" s="7">
        <v>14795.0</v>
      </c>
      <c r="F91" s="8">
        <f t="shared" si="1"/>
        <v>0.6572634385</v>
      </c>
      <c r="G91" s="8" t="str">
        <f t="shared" si="2"/>
        <v>POOR</v>
      </c>
      <c r="H91" s="9">
        <v>3.3</v>
      </c>
      <c r="I91" s="9">
        <v>170.0</v>
      </c>
      <c r="J91" s="9" t="str">
        <f t="array" ref="J91">IFS(I91&gt;299,"High HP",I91&gt;99,"Medium HP",I91&lt;100,"Low HP")</f>
        <v>Medium HP</v>
      </c>
      <c r="K91" s="9" t="s">
        <v>43</v>
      </c>
      <c r="L91" s="9">
        <v>21.0</v>
      </c>
      <c r="M91" s="9">
        <v>69.671461</v>
      </c>
      <c r="N91" s="9">
        <v>112.2</v>
      </c>
      <c r="O91" s="9">
        <v>74.9</v>
      </c>
      <c r="P91" s="9">
        <v>194.7</v>
      </c>
      <c r="Q91" s="9">
        <v>3.944</v>
      </c>
      <c r="R91" s="9">
        <v>20.0</v>
      </c>
      <c r="S91" s="10">
        <v>40106.0</v>
      </c>
    </row>
    <row r="92" ht="15.75" customHeight="1">
      <c r="A92" s="4" t="s">
        <v>129</v>
      </c>
      <c r="B92" s="5" t="s">
        <v>130</v>
      </c>
      <c r="C92" s="6">
        <v>18392.0</v>
      </c>
      <c r="D92" s="7">
        <v>31750.0</v>
      </c>
      <c r="E92" s="7">
        <v>26050.0</v>
      </c>
      <c r="F92" s="8">
        <f t="shared" si="1"/>
        <v>0.8204724409</v>
      </c>
      <c r="G92" s="8" t="str">
        <f t="shared" si="2"/>
        <v>GOOD</v>
      </c>
      <c r="H92" s="9">
        <v>2.3</v>
      </c>
      <c r="I92" s="9">
        <v>185.0</v>
      </c>
      <c r="J92" s="9" t="str">
        <f t="array" ref="J92">IFS(I92&gt;299,"High HP",I92&gt;99,"Medium HP",I92&lt;100,"Low HP")</f>
        <v>Medium HP</v>
      </c>
      <c r="K92" s="9" t="s">
        <v>21</v>
      </c>
      <c r="L92" s="9">
        <v>26.0</v>
      </c>
      <c r="M92" s="9">
        <v>78.28073088</v>
      </c>
      <c r="N92" s="9">
        <v>105.9</v>
      </c>
      <c r="O92" s="9">
        <v>67.7</v>
      </c>
      <c r="P92" s="9">
        <v>177.4</v>
      </c>
      <c r="Q92" s="9">
        <v>3.25</v>
      </c>
      <c r="R92" s="9">
        <v>16.4</v>
      </c>
      <c r="S92" s="10">
        <v>40657.0</v>
      </c>
    </row>
    <row r="93" ht="15.75" customHeight="1">
      <c r="A93" s="4" t="s">
        <v>129</v>
      </c>
      <c r="B93" s="5" t="s">
        <v>131</v>
      </c>
      <c r="C93" s="6">
        <v>27602.0</v>
      </c>
      <c r="D93" s="7">
        <v>49900.0</v>
      </c>
      <c r="E93" s="7">
        <v>41450.0</v>
      </c>
      <c r="F93" s="8">
        <f t="shared" si="1"/>
        <v>0.8306613226</v>
      </c>
      <c r="G93" s="8" t="str">
        <f t="shared" si="2"/>
        <v>GOOD</v>
      </c>
      <c r="H93" s="9">
        <v>3.2</v>
      </c>
      <c r="I93" s="9">
        <v>221.0</v>
      </c>
      <c r="J93" s="9" t="str">
        <f t="array" ref="J93">IFS(I93&gt;299,"High HP",I93&gt;99,"Medium HP",I93&lt;100,"Low HP")</f>
        <v>Medium HP</v>
      </c>
      <c r="K93" s="9" t="s">
        <v>21</v>
      </c>
      <c r="L93" s="9">
        <v>25.0</v>
      </c>
      <c r="M93" s="9">
        <v>98.2497375</v>
      </c>
      <c r="N93" s="9">
        <v>111.5</v>
      </c>
      <c r="O93" s="9">
        <v>70.8</v>
      </c>
      <c r="P93" s="9">
        <v>189.4</v>
      </c>
      <c r="Q93" s="9">
        <v>3.823</v>
      </c>
      <c r="R93" s="9">
        <v>21.1</v>
      </c>
      <c r="S93" s="10">
        <v>40736.0</v>
      </c>
    </row>
    <row r="94" ht="15.75" customHeight="1">
      <c r="A94" s="4" t="s">
        <v>129</v>
      </c>
      <c r="B94" s="5" t="s">
        <v>132</v>
      </c>
      <c r="C94" s="6">
        <v>16774.0</v>
      </c>
      <c r="D94" s="7">
        <v>69700.0</v>
      </c>
      <c r="E94" s="7">
        <v>50375.0</v>
      </c>
      <c r="F94" s="8">
        <f t="shared" si="1"/>
        <v>0.7227403156</v>
      </c>
      <c r="G94" s="8" t="str">
        <f t="shared" si="2"/>
        <v>GOOD</v>
      </c>
      <c r="H94" s="9">
        <v>4.3</v>
      </c>
      <c r="I94" s="9">
        <v>275.0</v>
      </c>
      <c r="J94" s="9" t="str">
        <f t="array" ref="J94">IFS(I94&gt;299,"High HP",I94&gt;99,"Medium HP",I94&lt;100,"Low HP")</f>
        <v>Medium HP</v>
      </c>
      <c r="K94" s="9" t="s">
        <v>21</v>
      </c>
      <c r="L94" s="9">
        <v>21.0</v>
      </c>
      <c r="M94" s="9">
        <v>125.2738757</v>
      </c>
      <c r="N94" s="9">
        <v>121.5</v>
      </c>
      <c r="O94" s="9">
        <v>73.1</v>
      </c>
      <c r="P94" s="9">
        <v>203.1</v>
      </c>
      <c r="Q94" s="9">
        <v>4.133</v>
      </c>
      <c r="R94" s="9">
        <v>23.2</v>
      </c>
      <c r="S94" s="10">
        <v>40707.0</v>
      </c>
    </row>
    <row r="95" ht="15.75" customHeight="1">
      <c r="A95" s="4" t="s">
        <v>129</v>
      </c>
      <c r="B95" s="5" t="s">
        <v>133</v>
      </c>
      <c r="C95" s="6">
        <v>3311.0</v>
      </c>
      <c r="D95" s="7">
        <v>82600.0</v>
      </c>
      <c r="E95" s="7">
        <v>58600.0</v>
      </c>
      <c r="F95" s="8">
        <f t="shared" si="1"/>
        <v>0.7094430993</v>
      </c>
      <c r="G95" s="8" t="str">
        <f t="shared" si="2"/>
        <v>GOOD</v>
      </c>
      <c r="H95" s="9">
        <v>5.0</v>
      </c>
      <c r="I95" s="9">
        <v>302.0</v>
      </c>
      <c r="J95" s="9" t="str">
        <f t="array" ref="J95">IFS(I95&gt;299,"High HP",I95&gt;99,"Medium HP",I95&lt;100,"Low HP")</f>
        <v>High HP</v>
      </c>
      <c r="K95" s="9" t="s">
        <v>21</v>
      </c>
      <c r="L95" s="9">
        <v>20.0</v>
      </c>
      <c r="M95" s="9">
        <v>139.9822936</v>
      </c>
      <c r="N95" s="9">
        <v>99.0</v>
      </c>
      <c r="O95" s="9">
        <v>71.3</v>
      </c>
      <c r="P95" s="9">
        <v>177.1</v>
      </c>
      <c r="Q95" s="9">
        <v>4.125</v>
      </c>
      <c r="R95" s="9">
        <v>21.1</v>
      </c>
      <c r="S95" s="10">
        <v>40619.0</v>
      </c>
    </row>
    <row r="96" ht="15.75" customHeight="1">
      <c r="A96" s="4" t="s">
        <v>129</v>
      </c>
      <c r="B96" s="5" t="s">
        <v>134</v>
      </c>
      <c r="C96" s="6">
        <v>7998.0</v>
      </c>
      <c r="D96" s="7">
        <v>38900.0</v>
      </c>
      <c r="E96" s="7">
        <v>32436.0</v>
      </c>
      <c r="F96" s="8">
        <f t="shared" si="1"/>
        <v>0.8338303342</v>
      </c>
      <c r="G96" s="8" t="str">
        <f t="shared" si="2"/>
        <v>GOOD</v>
      </c>
      <c r="H96" s="9">
        <v>2.3</v>
      </c>
      <c r="I96" s="9">
        <v>190.0</v>
      </c>
      <c r="J96" s="9" t="str">
        <f t="array" ref="J96">IFS(I96&gt;299,"High HP",I96&gt;99,"Medium HP",I96&lt;100,"Low HP")</f>
        <v>Medium HP</v>
      </c>
      <c r="K96" s="9" t="s">
        <v>21</v>
      </c>
      <c r="L96" s="9">
        <v>26.0</v>
      </c>
      <c r="M96" s="9">
        <v>82.80736193</v>
      </c>
      <c r="N96" s="9">
        <v>94.5</v>
      </c>
      <c r="O96" s="9">
        <v>67.5</v>
      </c>
      <c r="P96" s="9">
        <v>157.9</v>
      </c>
      <c r="Q96" s="9">
        <v>3.055</v>
      </c>
      <c r="R96" s="9">
        <v>15.9</v>
      </c>
      <c r="S96" s="10">
        <v>40559.0</v>
      </c>
    </row>
    <row r="97" ht="15.75" customHeight="1">
      <c r="A97" s="4" t="s">
        <v>129</v>
      </c>
      <c r="B97" s="5" t="s">
        <v>135</v>
      </c>
      <c r="C97" s="6">
        <v>1526.0</v>
      </c>
      <c r="D97" s="7">
        <v>41000.0</v>
      </c>
      <c r="E97" s="7">
        <v>28635.0</v>
      </c>
      <c r="F97" s="8">
        <f t="shared" si="1"/>
        <v>0.6984146341</v>
      </c>
      <c r="G97" s="8" t="str">
        <f t="shared" si="2"/>
        <v>GOOD</v>
      </c>
      <c r="H97" s="9">
        <v>2.3</v>
      </c>
      <c r="I97" s="9">
        <v>185.0</v>
      </c>
      <c r="J97" s="9" t="str">
        <f t="array" ref="J97">IFS(I97&gt;299,"High HP",I97&gt;99,"Medium HP",I97&lt;100,"Low HP")</f>
        <v>Medium HP</v>
      </c>
      <c r="K97" s="9" t="s">
        <v>21</v>
      </c>
      <c r="L97" s="9">
        <v>27.0</v>
      </c>
      <c r="M97" s="9">
        <v>81.84896924</v>
      </c>
      <c r="N97" s="9">
        <v>94.5</v>
      </c>
      <c r="O97" s="9">
        <v>67.5</v>
      </c>
      <c r="P97" s="9">
        <v>157.3</v>
      </c>
      <c r="Q97" s="9">
        <v>2.975</v>
      </c>
      <c r="R97" s="9">
        <v>14.0</v>
      </c>
      <c r="S97" s="10">
        <v>40761.0</v>
      </c>
    </row>
    <row r="98" ht="15.75" customHeight="1">
      <c r="A98" s="4" t="s">
        <v>129</v>
      </c>
      <c r="B98" s="5" t="s">
        <v>136</v>
      </c>
      <c r="C98" s="6">
        <v>11592.0</v>
      </c>
      <c r="D98" s="7">
        <v>41600.0</v>
      </c>
      <c r="E98" s="7">
        <v>29200.0</v>
      </c>
      <c r="F98" s="8">
        <f t="shared" si="1"/>
        <v>0.7019230769</v>
      </c>
      <c r="G98" s="8" t="str">
        <f t="shared" si="2"/>
        <v>GOOD</v>
      </c>
      <c r="H98" s="9">
        <v>3.2</v>
      </c>
      <c r="I98" s="9">
        <v>215.0</v>
      </c>
      <c r="J98" s="9" t="str">
        <f t="array" ref="J98">IFS(I98&gt;299,"High HP",I98&gt;99,"Medium HP",I98&lt;100,"Low HP")</f>
        <v>Medium HP</v>
      </c>
      <c r="K98" s="9" t="s">
        <v>21</v>
      </c>
      <c r="L98" s="9">
        <v>26.0</v>
      </c>
      <c r="M98" s="9">
        <v>92.92579177</v>
      </c>
      <c r="N98" s="9">
        <v>105.9</v>
      </c>
      <c r="O98" s="9">
        <v>67.8</v>
      </c>
      <c r="P98" s="9">
        <v>180.3</v>
      </c>
      <c r="Q98" s="9">
        <v>3.213</v>
      </c>
      <c r="R98" s="9">
        <v>16.4</v>
      </c>
      <c r="S98" s="10">
        <v>40732.0</v>
      </c>
    </row>
    <row r="99" ht="15.75" customHeight="1">
      <c r="A99" s="4" t="s">
        <v>129</v>
      </c>
      <c r="B99" s="5" t="s">
        <v>137</v>
      </c>
      <c r="C99" s="6">
        <v>954.0</v>
      </c>
      <c r="D99" s="7">
        <v>85500.0</v>
      </c>
      <c r="E99" s="7">
        <v>63423.0</v>
      </c>
      <c r="F99" s="8">
        <f t="shared" si="1"/>
        <v>0.7417894737</v>
      </c>
      <c r="G99" s="8" t="str">
        <f t="shared" si="2"/>
        <v>GOOD</v>
      </c>
      <c r="H99" s="9">
        <v>5.0</v>
      </c>
      <c r="I99" s="9">
        <v>302.0</v>
      </c>
      <c r="J99" s="9" t="str">
        <f t="array" ref="J99">IFS(I99&gt;299,"High HP",I99&gt;99,"Medium HP",I99&lt;100,"Low HP")</f>
        <v>High HP</v>
      </c>
      <c r="K99" s="9" t="s">
        <v>21</v>
      </c>
      <c r="L99" s="9">
        <v>20.0</v>
      </c>
      <c r="M99" s="9">
        <v>141.1009845</v>
      </c>
      <c r="N99" s="9">
        <v>113.6</v>
      </c>
      <c r="O99" s="9">
        <v>73.1</v>
      </c>
      <c r="P99" s="9">
        <v>196.6</v>
      </c>
      <c r="Q99" s="9">
        <v>4.115</v>
      </c>
      <c r="R99" s="9">
        <v>23.2</v>
      </c>
      <c r="S99" s="10">
        <v>40644.0</v>
      </c>
    </row>
    <row r="100" ht="15.75" customHeight="1">
      <c r="A100" s="4" t="s">
        <v>129</v>
      </c>
      <c r="B100" s="5" t="s">
        <v>138</v>
      </c>
      <c r="C100" s="6">
        <v>28976.0</v>
      </c>
      <c r="D100" s="7">
        <v>35300.0</v>
      </c>
      <c r="E100" s="7">
        <v>28720.0</v>
      </c>
      <c r="F100" s="8">
        <f t="shared" si="1"/>
        <v>0.8135977337</v>
      </c>
      <c r="G100" s="8" t="str">
        <f t="shared" si="2"/>
        <v>GOOD</v>
      </c>
      <c r="H100" s="9">
        <v>3.2</v>
      </c>
      <c r="I100" s="9">
        <v>215.0</v>
      </c>
      <c r="J100" s="9" t="str">
        <f t="array" ref="J100">IFS(I100&gt;299,"High HP",I100&gt;99,"Medium HP",I100&lt;100,"Low HP")</f>
        <v>Medium HP</v>
      </c>
      <c r="K100" s="9" t="s">
        <v>43</v>
      </c>
      <c r="L100" s="9">
        <v>20.0</v>
      </c>
      <c r="M100" s="9">
        <v>90.49553213</v>
      </c>
      <c r="N100" s="9">
        <v>111.0</v>
      </c>
      <c r="O100" s="9">
        <v>72.2</v>
      </c>
      <c r="P100" s="9">
        <v>180.6</v>
      </c>
      <c r="Q100" s="9">
        <v>4.387</v>
      </c>
      <c r="R100" s="9">
        <v>19.0</v>
      </c>
      <c r="S100" s="10">
        <v>40584.0</v>
      </c>
    </row>
    <row r="101" ht="15.75" customHeight="1">
      <c r="A101" s="4" t="s">
        <v>139</v>
      </c>
      <c r="B101" s="5" t="s">
        <v>140</v>
      </c>
      <c r="C101" s="6">
        <v>42643.0</v>
      </c>
      <c r="D101" s="7">
        <v>13499.0</v>
      </c>
      <c r="E101" s="7">
        <v>8450.0</v>
      </c>
      <c r="F101" s="8">
        <f t="shared" si="1"/>
        <v>0.6259722942</v>
      </c>
      <c r="G101" s="8" t="str">
        <f t="shared" si="2"/>
        <v>POOR</v>
      </c>
      <c r="H101" s="9">
        <v>1.8</v>
      </c>
      <c r="I101" s="9">
        <v>126.0</v>
      </c>
      <c r="J101" s="9" t="str">
        <f t="array" ref="J101">IFS(I101&gt;299,"High HP",I101&gt;99,"Medium HP",I101&lt;100,"Low HP")</f>
        <v>Medium HP</v>
      </c>
      <c r="K101" s="9" t="s">
        <v>21</v>
      </c>
      <c r="L101" s="9">
        <v>30.0</v>
      </c>
      <c r="M101" s="9">
        <v>50.24197791</v>
      </c>
      <c r="N101" s="9">
        <v>99.8</v>
      </c>
      <c r="O101" s="9">
        <v>67.3</v>
      </c>
      <c r="P101" s="9">
        <v>177.5</v>
      </c>
      <c r="Q101" s="9">
        <v>2.593</v>
      </c>
      <c r="R101" s="9">
        <v>13.2</v>
      </c>
      <c r="S101" s="10">
        <v>40786.0</v>
      </c>
    </row>
    <row r="102" ht="15.75" customHeight="1">
      <c r="A102" s="4" t="s">
        <v>139</v>
      </c>
      <c r="B102" s="5" t="s">
        <v>141</v>
      </c>
      <c r="C102" s="6">
        <v>88094.0</v>
      </c>
      <c r="D102" s="7">
        <v>20390.0</v>
      </c>
      <c r="E102" s="7">
        <v>11295.0</v>
      </c>
      <c r="F102" s="8">
        <f t="shared" si="1"/>
        <v>0.5539480137</v>
      </c>
      <c r="G102" s="8" t="str">
        <f t="shared" si="2"/>
        <v>POOR</v>
      </c>
      <c r="H102" s="9">
        <v>2.4</v>
      </c>
      <c r="I102" s="9">
        <v>155.0</v>
      </c>
      <c r="J102" s="9" t="str">
        <f t="array" ref="J102">IFS(I102&gt;299,"High HP",I102&gt;99,"Medium HP",I102&lt;100,"Low HP")</f>
        <v>Medium HP</v>
      </c>
      <c r="K102" s="9" t="s">
        <v>21</v>
      </c>
      <c r="L102" s="9">
        <v>25.0</v>
      </c>
      <c r="M102" s="9">
        <v>63.31372783</v>
      </c>
      <c r="N102" s="9">
        <v>103.1</v>
      </c>
      <c r="O102" s="9">
        <v>69.1</v>
      </c>
      <c r="P102" s="9">
        <v>183.5</v>
      </c>
      <c r="Q102" s="9">
        <v>3.012</v>
      </c>
      <c r="R102" s="9">
        <v>15.9</v>
      </c>
      <c r="S102" s="10">
        <v>40757.0</v>
      </c>
    </row>
    <row r="103" ht="15.75" customHeight="1">
      <c r="A103" s="4" t="s">
        <v>139</v>
      </c>
      <c r="B103" s="5" t="s">
        <v>142</v>
      </c>
      <c r="C103" s="6">
        <v>79853.0</v>
      </c>
      <c r="D103" s="7">
        <v>26249.0</v>
      </c>
      <c r="E103" s="7">
        <v>15125.0</v>
      </c>
      <c r="F103" s="8">
        <f t="shared" si="1"/>
        <v>0.5762124271</v>
      </c>
      <c r="G103" s="8" t="str">
        <f t="shared" si="2"/>
        <v>POOR</v>
      </c>
      <c r="H103" s="9">
        <v>3.0</v>
      </c>
      <c r="I103" s="9">
        <v>222.0</v>
      </c>
      <c r="J103" s="9" t="str">
        <f t="array" ref="J103">IFS(I103&gt;299,"High HP",I103&gt;99,"Medium HP",I103&lt;100,"Low HP")</f>
        <v>Medium HP</v>
      </c>
      <c r="K103" s="9" t="s">
        <v>21</v>
      </c>
      <c r="L103" s="9">
        <v>25.0</v>
      </c>
      <c r="M103" s="9">
        <v>89.42782031</v>
      </c>
      <c r="N103" s="9">
        <v>108.3</v>
      </c>
      <c r="O103" s="9">
        <v>70.3</v>
      </c>
      <c r="P103" s="9">
        <v>190.5</v>
      </c>
      <c r="Q103" s="9">
        <v>3.294</v>
      </c>
      <c r="R103" s="9">
        <v>18.5</v>
      </c>
      <c r="S103" s="10">
        <v>40669.0</v>
      </c>
    </row>
    <row r="104" ht="15.75" customHeight="1">
      <c r="A104" s="4" t="s">
        <v>139</v>
      </c>
      <c r="B104" s="5" t="s">
        <v>143</v>
      </c>
      <c r="C104" s="6">
        <v>27308.0</v>
      </c>
      <c r="D104" s="7">
        <v>26399.0</v>
      </c>
      <c r="E104" s="7">
        <v>15380.0</v>
      </c>
      <c r="F104" s="8">
        <f t="shared" si="1"/>
        <v>0.5825978257</v>
      </c>
      <c r="G104" s="8" t="str">
        <f t="shared" si="2"/>
        <v>POOR</v>
      </c>
      <c r="H104" s="9">
        <v>3.3</v>
      </c>
      <c r="I104" s="9">
        <v>170.0</v>
      </c>
      <c r="J104" s="9" t="str">
        <f t="array" ref="J104">IFS(I104&gt;299,"High HP",I104&gt;99,"Medium HP",I104&lt;100,"Low HP")</f>
        <v>Medium HP</v>
      </c>
      <c r="K104" s="9" t="s">
        <v>43</v>
      </c>
      <c r="L104" s="9">
        <v>21.0</v>
      </c>
      <c r="M104" s="9">
        <v>71.17166413</v>
      </c>
      <c r="N104" s="9">
        <v>112.2</v>
      </c>
      <c r="O104" s="9">
        <v>74.9</v>
      </c>
      <c r="P104" s="9">
        <v>194.8</v>
      </c>
      <c r="Q104" s="9">
        <v>3.991</v>
      </c>
      <c r="R104" s="9">
        <v>20.0</v>
      </c>
      <c r="S104" s="10">
        <v>40609.0</v>
      </c>
    </row>
    <row r="105" ht="15.75" customHeight="1">
      <c r="A105" s="4" t="s">
        <v>139</v>
      </c>
      <c r="B105" s="5" t="s">
        <v>144</v>
      </c>
      <c r="C105" s="6">
        <v>42574.0</v>
      </c>
      <c r="D105" s="7">
        <v>29299.0</v>
      </c>
      <c r="E105" s="7">
        <v>17810.0</v>
      </c>
      <c r="F105" s="8">
        <f t="shared" si="1"/>
        <v>0.6078705758</v>
      </c>
      <c r="G105" s="8" t="str">
        <f t="shared" si="2"/>
        <v>POOR</v>
      </c>
      <c r="H105" s="9">
        <v>3.3</v>
      </c>
      <c r="I105" s="9">
        <v>170.0</v>
      </c>
      <c r="J105" s="9" t="str">
        <f t="array" ref="J105">IFS(I105&gt;299,"High HP",I105&gt;99,"Medium HP",I105&lt;100,"Low HP")</f>
        <v>Medium HP</v>
      </c>
      <c r="K105" s="9" t="s">
        <v>43</v>
      </c>
      <c r="L105" s="9">
        <v>19.0</v>
      </c>
      <c r="M105" s="9">
        <v>72.29035508</v>
      </c>
      <c r="N105" s="9">
        <v>106.3</v>
      </c>
      <c r="O105" s="9">
        <v>71.7</v>
      </c>
      <c r="P105" s="9">
        <v>182.6</v>
      </c>
      <c r="Q105" s="9">
        <v>3.947</v>
      </c>
      <c r="R105" s="9">
        <v>21.0</v>
      </c>
      <c r="S105" s="10">
        <v>40811.0</v>
      </c>
    </row>
    <row r="106" ht="15.75" customHeight="1">
      <c r="A106" s="4" t="s">
        <v>139</v>
      </c>
      <c r="B106" s="5" t="s">
        <v>145</v>
      </c>
      <c r="C106" s="6">
        <v>54158.0</v>
      </c>
      <c r="D106" s="7">
        <v>22799.0</v>
      </c>
      <c r="E106" s="7">
        <v>13093.0</v>
      </c>
      <c r="F106" s="8">
        <f t="shared" si="1"/>
        <v>0.5742795737</v>
      </c>
      <c r="G106" s="8" t="str">
        <f t="shared" si="2"/>
        <v>POOR</v>
      </c>
      <c r="H106" s="9">
        <v>3.3</v>
      </c>
      <c r="I106" s="9">
        <v>170.0</v>
      </c>
      <c r="J106" s="9" t="str">
        <f t="array" ref="J106">IFS(I106&gt;299,"High HP",I106&gt;99,"Medium HP",I106&lt;100,"Low HP")</f>
        <v>Medium HP</v>
      </c>
      <c r="K106" s="9" t="s">
        <v>43</v>
      </c>
      <c r="L106" s="9">
        <v>18.0</v>
      </c>
      <c r="M106" s="9">
        <v>69.78294434</v>
      </c>
      <c r="N106" s="9">
        <v>104.3</v>
      </c>
      <c r="O106" s="9">
        <v>70.4</v>
      </c>
      <c r="P106" s="9">
        <v>178.0</v>
      </c>
      <c r="Q106" s="9">
        <v>3.821</v>
      </c>
      <c r="R106" s="9">
        <v>19.4</v>
      </c>
      <c r="S106" s="10">
        <v>40567.0</v>
      </c>
    </row>
    <row r="107" ht="15.75" customHeight="1">
      <c r="A107" s="4" t="s">
        <v>139</v>
      </c>
      <c r="B107" s="5" t="s">
        <v>146</v>
      </c>
      <c r="C107" s="6">
        <v>65004.99999999999</v>
      </c>
      <c r="D107" s="7">
        <v>17890.0</v>
      </c>
      <c r="E107" s="7">
        <v>10670.0</v>
      </c>
      <c r="F107" s="8">
        <f t="shared" si="1"/>
        <v>0.5964225824</v>
      </c>
      <c r="G107" s="8" t="str">
        <f t="shared" si="2"/>
        <v>POOR</v>
      </c>
      <c r="H107" s="9">
        <v>3.3</v>
      </c>
      <c r="I107" s="9">
        <v>170.0</v>
      </c>
      <c r="J107" s="9" t="str">
        <f t="array" ref="J107">IFS(I107&gt;299,"High HP",I107&gt;99,"Medium HP",I107&lt;100,"Low HP")</f>
        <v>Medium HP</v>
      </c>
      <c r="K107" s="9" t="s">
        <v>43</v>
      </c>
      <c r="L107" s="9">
        <v>18.0</v>
      </c>
      <c r="M107" s="9">
        <v>67.88927059</v>
      </c>
      <c r="N107" s="9">
        <v>116.1</v>
      </c>
      <c r="O107" s="9">
        <v>66.5</v>
      </c>
      <c r="P107" s="9">
        <v>196.1</v>
      </c>
      <c r="Q107" s="9">
        <v>3.217</v>
      </c>
      <c r="R107" s="9">
        <v>19.4</v>
      </c>
      <c r="S107" s="10">
        <v>40782.0</v>
      </c>
    </row>
    <row r="108" ht="15.75" customHeight="1">
      <c r="A108" s="4" t="s">
        <v>147</v>
      </c>
      <c r="B108" s="5" t="s">
        <v>148</v>
      </c>
      <c r="C108" s="6">
        <v>1112.0</v>
      </c>
      <c r="D108" s="7">
        <v>18145.0</v>
      </c>
      <c r="E108" s="7">
        <v>11240.0</v>
      </c>
      <c r="F108" s="8">
        <f t="shared" si="1"/>
        <v>0.6194543952</v>
      </c>
      <c r="G108" s="8" t="str">
        <f t="shared" si="2"/>
        <v>POOR</v>
      </c>
      <c r="H108" s="9">
        <v>3.1</v>
      </c>
      <c r="I108" s="9">
        <v>150.0</v>
      </c>
      <c r="J108" s="9" t="str">
        <f t="array" ref="J108">IFS(I108&gt;299,"High HP",I108&gt;99,"Medium HP",I108&lt;100,"Low HP")</f>
        <v>Medium HP</v>
      </c>
      <c r="K108" s="9" t="s">
        <v>21</v>
      </c>
      <c r="L108" s="9">
        <v>25.0</v>
      </c>
      <c r="M108" s="9">
        <v>60.86161155</v>
      </c>
      <c r="N108" s="9">
        <v>107.0</v>
      </c>
      <c r="O108" s="9">
        <v>69.4</v>
      </c>
      <c r="P108" s="9">
        <v>192.0</v>
      </c>
      <c r="Q108" s="9">
        <v>3.102</v>
      </c>
      <c r="R108" s="9">
        <v>15.2</v>
      </c>
      <c r="S108" s="10">
        <v>40694.0</v>
      </c>
    </row>
    <row r="109" ht="15.75" customHeight="1">
      <c r="A109" s="4" t="s">
        <v>147</v>
      </c>
      <c r="B109" s="5" t="s">
        <v>149</v>
      </c>
      <c r="C109" s="6">
        <v>38554.0</v>
      </c>
      <c r="D109" s="7">
        <v>24150.0</v>
      </c>
      <c r="E109" s="7">
        <v>17100.0</v>
      </c>
      <c r="F109" s="8">
        <f t="shared" si="1"/>
        <v>0.7080745342</v>
      </c>
      <c r="G109" s="8" t="str">
        <f t="shared" si="2"/>
        <v>GOOD</v>
      </c>
      <c r="H109" s="9">
        <v>3.5</v>
      </c>
      <c r="I109" s="9">
        <v>215.0</v>
      </c>
      <c r="J109" s="9" t="str">
        <f t="array" ref="J109">IFS(I109&gt;299,"High HP",I109&gt;99,"Medium HP",I109&lt;100,"Low HP")</f>
        <v>Medium HP</v>
      </c>
      <c r="K109" s="9" t="s">
        <v>21</v>
      </c>
      <c r="L109" s="9">
        <v>23.0</v>
      </c>
      <c r="M109" s="9">
        <v>86.27252291</v>
      </c>
      <c r="N109" s="9">
        <v>109.0</v>
      </c>
      <c r="O109" s="9">
        <v>73.6</v>
      </c>
      <c r="P109" s="9">
        <v>195.9</v>
      </c>
      <c r="Q109" s="9">
        <v>3.455</v>
      </c>
      <c r="R109" s="9">
        <v>18.0</v>
      </c>
      <c r="S109" s="10">
        <v>40634.0</v>
      </c>
    </row>
    <row r="110" ht="15.75" customHeight="1">
      <c r="A110" s="4" t="s">
        <v>147</v>
      </c>
      <c r="B110" s="5" t="s">
        <v>150</v>
      </c>
      <c r="C110" s="6">
        <v>80255.0</v>
      </c>
      <c r="D110" s="7">
        <v>18270.0</v>
      </c>
      <c r="E110" s="7">
        <v>11459.0</v>
      </c>
      <c r="F110" s="8">
        <f t="shared" si="1"/>
        <v>0.6272030651</v>
      </c>
      <c r="G110" s="8" t="str">
        <f t="shared" si="2"/>
        <v>POOR</v>
      </c>
      <c r="H110" s="9">
        <v>2.4</v>
      </c>
      <c r="I110" s="9">
        <v>150.0</v>
      </c>
      <c r="J110" s="9" t="str">
        <f t="array" ref="J110">IFS(I110&gt;299,"High HP",I110&gt;99,"Medium HP",I110&lt;100,"Low HP")</f>
        <v>Medium HP</v>
      </c>
      <c r="K110" s="9" t="s">
        <v>21</v>
      </c>
      <c r="L110" s="9">
        <v>27.0</v>
      </c>
      <c r="M110" s="9">
        <v>60.72744693</v>
      </c>
      <c r="N110" s="9">
        <v>107.0</v>
      </c>
      <c r="O110" s="9">
        <v>70.1</v>
      </c>
      <c r="P110" s="9">
        <v>186.7</v>
      </c>
      <c r="Q110" s="9">
        <v>2.958</v>
      </c>
      <c r="R110" s="9">
        <v>15.0</v>
      </c>
      <c r="S110" s="10">
        <v>40106.0</v>
      </c>
    </row>
    <row r="111" ht="15.75" customHeight="1">
      <c r="A111" s="4" t="s">
        <v>147</v>
      </c>
      <c r="B111" s="5" t="s">
        <v>151</v>
      </c>
      <c r="C111" s="6">
        <v>14690.0</v>
      </c>
      <c r="D111" s="7">
        <v>36229.0</v>
      </c>
      <c r="E111" s="7">
        <v>19890.0</v>
      </c>
      <c r="F111" s="8">
        <f t="shared" si="1"/>
        <v>0.549007701</v>
      </c>
      <c r="G111" s="8" t="str">
        <f t="shared" si="2"/>
        <v>POOR</v>
      </c>
      <c r="H111" s="9">
        <v>4.0</v>
      </c>
      <c r="I111" s="9">
        <v>250.0</v>
      </c>
      <c r="J111" s="9" t="str">
        <f t="array" ref="J111">IFS(I111&gt;299,"High HP",I111&gt;99,"Medium HP",I111&lt;100,"Low HP")</f>
        <v>Medium HP</v>
      </c>
      <c r="K111" s="9" t="s">
        <v>21</v>
      </c>
      <c r="L111" s="9">
        <v>22.0</v>
      </c>
      <c r="M111" s="9">
        <v>103.4416926</v>
      </c>
      <c r="N111" s="9">
        <v>113.8</v>
      </c>
      <c r="O111" s="9">
        <v>74.4</v>
      </c>
      <c r="P111" s="9">
        <v>205.4</v>
      </c>
      <c r="Q111" s="9">
        <v>3.967</v>
      </c>
      <c r="R111" s="9">
        <v>18.5</v>
      </c>
      <c r="S111" s="10">
        <v>40592.0</v>
      </c>
    </row>
    <row r="112" ht="15.75" customHeight="1">
      <c r="A112" s="4" t="s">
        <v>147</v>
      </c>
      <c r="B112" s="5" t="s">
        <v>152</v>
      </c>
      <c r="C112" s="6">
        <v>20017.0</v>
      </c>
      <c r="D112" s="7">
        <v>31598.0</v>
      </c>
      <c r="E112" s="7">
        <v>19925.0</v>
      </c>
      <c r="F112" s="8">
        <f t="shared" si="1"/>
        <v>0.6305778847</v>
      </c>
      <c r="G112" s="8" t="str">
        <f t="shared" si="2"/>
        <v>POOR</v>
      </c>
      <c r="H112" s="9">
        <v>4.3</v>
      </c>
      <c r="I112" s="9">
        <v>190.0</v>
      </c>
      <c r="J112" s="9" t="str">
        <f t="array" ref="J112">IFS(I112&gt;299,"High HP",I112&gt;99,"Medium HP",I112&lt;100,"Low HP")</f>
        <v>Medium HP</v>
      </c>
      <c r="K112" s="9" t="s">
        <v>43</v>
      </c>
      <c r="L112" s="9">
        <v>19.0</v>
      </c>
      <c r="M112" s="9">
        <v>80.51167259</v>
      </c>
      <c r="N112" s="9">
        <v>107.0</v>
      </c>
      <c r="O112" s="9">
        <v>67.8</v>
      </c>
      <c r="P112" s="9">
        <v>181.2</v>
      </c>
      <c r="Q112" s="9">
        <v>4.068</v>
      </c>
      <c r="R112" s="9">
        <v>17.5</v>
      </c>
      <c r="S112" s="10">
        <v>40807.0</v>
      </c>
    </row>
    <row r="113" ht="15.75" customHeight="1">
      <c r="A113" s="4" t="s">
        <v>147</v>
      </c>
      <c r="B113" s="5" t="s">
        <v>153</v>
      </c>
      <c r="C113" s="6">
        <v>24361.0</v>
      </c>
      <c r="D113" s="7">
        <v>25345.0</v>
      </c>
      <c r="E113" s="7">
        <v>15240.0</v>
      </c>
      <c r="F113" s="8">
        <f t="shared" si="1"/>
        <v>0.601302032</v>
      </c>
      <c r="G113" s="8" t="str">
        <f t="shared" si="2"/>
        <v>POOR</v>
      </c>
      <c r="H113" s="9">
        <v>3.4</v>
      </c>
      <c r="I113" s="9">
        <v>185.0</v>
      </c>
      <c r="J113" s="9" t="str">
        <f t="array" ref="J113">IFS(I113&gt;299,"High HP",I113&gt;99,"Medium HP",I113&lt;100,"Low HP")</f>
        <v>Medium HP</v>
      </c>
      <c r="K113" s="9" t="s">
        <v>43</v>
      </c>
      <c r="L113" s="9">
        <v>22.0</v>
      </c>
      <c r="M113" s="9">
        <v>76.09657042</v>
      </c>
      <c r="N113" s="9">
        <v>120.0</v>
      </c>
      <c r="O113" s="9">
        <v>72.2</v>
      </c>
      <c r="P113" s="9">
        <v>201.4</v>
      </c>
      <c r="Q113" s="9">
        <v>3.948</v>
      </c>
      <c r="R113" s="9">
        <v>25.0</v>
      </c>
      <c r="S113" s="10">
        <v>40719.0</v>
      </c>
    </row>
    <row r="114" ht="15.75" customHeight="1">
      <c r="A114" s="4" t="s">
        <v>154</v>
      </c>
      <c r="B114" s="5" t="s">
        <v>62</v>
      </c>
      <c r="C114" s="6">
        <v>32734.0</v>
      </c>
      <c r="D114" s="7">
        <v>12640.0</v>
      </c>
      <c r="E114" s="7">
        <v>7750.0</v>
      </c>
      <c r="F114" s="8">
        <f t="shared" si="1"/>
        <v>0.6131329114</v>
      </c>
      <c r="G114" s="8" t="str">
        <f t="shared" si="2"/>
        <v>POOR</v>
      </c>
      <c r="H114" s="9">
        <v>2.0</v>
      </c>
      <c r="I114" s="9">
        <v>132.0</v>
      </c>
      <c r="J114" s="9" t="str">
        <f t="array" ref="J114">IFS(I114&gt;299,"High HP",I114&gt;99,"Medium HP",I114&lt;100,"Low HP")</f>
        <v>Medium HP</v>
      </c>
      <c r="K114" s="9" t="s">
        <v>21</v>
      </c>
      <c r="L114" s="9">
        <v>29.0</v>
      </c>
      <c r="M114" s="9">
        <v>52.08489875</v>
      </c>
      <c r="N114" s="9">
        <v>105.0</v>
      </c>
      <c r="O114" s="9">
        <v>74.4</v>
      </c>
      <c r="P114" s="9">
        <v>174.4</v>
      </c>
      <c r="Q114" s="9">
        <v>2.559</v>
      </c>
      <c r="R114" s="9">
        <v>12.5</v>
      </c>
      <c r="S114" s="10">
        <v>40659.0</v>
      </c>
    </row>
    <row r="115" ht="15.75" customHeight="1">
      <c r="A115" s="4" t="s">
        <v>154</v>
      </c>
      <c r="B115" s="5" t="s">
        <v>155</v>
      </c>
      <c r="C115" s="6">
        <v>5240.0</v>
      </c>
      <c r="D115" s="7">
        <v>16079.999999999998</v>
      </c>
      <c r="E115" s="7">
        <v>9800.0</v>
      </c>
      <c r="F115" s="8">
        <f t="shared" si="1"/>
        <v>0.6094527363</v>
      </c>
      <c r="G115" s="8" t="str">
        <f t="shared" si="2"/>
        <v>POOR</v>
      </c>
      <c r="H115" s="9">
        <v>2.0</v>
      </c>
      <c r="I115" s="9">
        <v>132.0</v>
      </c>
      <c r="J115" s="9" t="str">
        <f t="array" ref="J115">IFS(I115&gt;299,"High HP",I115&gt;99,"Medium HP",I115&lt;100,"Low HP")</f>
        <v>Medium HP</v>
      </c>
      <c r="K115" s="9" t="s">
        <v>21</v>
      </c>
      <c r="L115" s="9">
        <v>27.0</v>
      </c>
      <c r="M115" s="9">
        <v>53.41189767</v>
      </c>
      <c r="N115" s="9">
        <v>108.0</v>
      </c>
      <c r="O115" s="9">
        <v>71.0</v>
      </c>
      <c r="P115" s="9">
        <v>186.3</v>
      </c>
      <c r="Q115" s="9">
        <v>2.942</v>
      </c>
      <c r="R115" s="9">
        <v>16.0</v>
      </c>
      <c r="S115" s="10">
        <v>40861.0</v>
      </c>
    </row>
    <row r="116" ht="15.75" customHeight="1">
      <c r="A116" s="4" t="s">
        <v>154</v>
      </c>
      <c r="B116" s="5" t="s">
        <v>156</v>
      </c>
      <c r="C116" s="6">
        <v>24155.0</v>
      </c>
      <c r="D116" s="7">
        <v>18850.0</v>
      </c>
      <c r="E116" s="7">
        <v>12025.0</v>
      </c>
      <c r="F116" s="8">
        <f t="shared" si="1"/>
        <v>0.6379310345</v>
      </c>
      <c r="G116" s="8" t="str">
        <f t="shared" si="2"/>
        <v>POOR</v>
      </c>
      <c r="H116" s="9">
        <v>2.4</v>
      </c>
      <c r="I116" s="9">
        <v>150.0</v>
      </c>
      <c r="J116" s="9" t="str">
        <f t="array" ref="J116">IFS(I116&gt;299,"High HP",I116&gt;99,"Medium HP",I116&lt;100,"Low HP")</f>
        <v>Medium HP</v>
      </c>
      <c r="K116" s="9" t="s">
        <v>43</v>
      </c>
      <c r="L116" s="9">
        <v>24.0</v>
      </c>
      <c r="M116" s="9">
        <v>60.95118512</v>
      </c>
      <c r="N116" s="9">
        <v>113.3</v>
      </c>
      <c r="O116" s="9">
        <v>76.8</v>
      </c>
      <c r="P116" s="9">
        <v>186.3</v>
      </c>
      <c r="Q116" s="9">
        <v>3.528</v>
      </c>
      <c r="R116" s="9">
        <v>20.0</v>
      </c>
      <c r="S116" s="10">
        <v>40657.0</v>
      </c>
    </row>
    <row r="117" ht="15.75" customHeight="1">
      <c r="A117" s="4" t="s">
        <v>154</v>
      </c>
      <c r="B117" s="5" t="s">
        <v>157</v>
      </c>
      <c r="C117" s="6">
        <v>1872.0</v>
      </c>
      <c r="D117" s="7">
        <v>43000.0</v>
      </c>
      <c r="E117" s="7">
        <v>30434.0</v>
      </c>
      <c r="F117" s="8">
        <f t="shared" si="1"/>
        <v>0.7077674419</v>
      </c>
      <c r="G117" s="8" t="str">
        <f t="shared" si="2"/>
        <v>GOOD</v>
      </c>
      <c r="H117" s="9">
        <v>3.5</v>
      </c>
      <c r="I117" s="9">
        <v>253.0</v>
      </c>
      <c r="J117" s="9" t="str">
        <f t="array" ref="J117">IFS(I117&gt;299,"High HP",I117&gt;99,"Medium HP",I117&lt;100,"Low HP")</f>
        <v>Medium HP</v>
      </c>
      <c r="K117" s="9" t="s">
        <v>21</v>
      </c>
      <c r="L117" s="9">
        <v>21.0</v>
      </c>
      <c r="M117" s="9">
        <v>106.9844563</v>
      </c>
      <c r="N117" s="9">
        <v>113.3</v>
      </c>
      <c r="O117" s="9">
        <v>76.3</v>
      </c>
      <c r="P117" s="9">
        <v>165.4</v>
      </c>
      <c r="Q117" s="9">
        <v>2.85</v>
      </c>
      <c r="R117" s="9">
        <v>12.0</v>
      </c>
      <c r="S117" s="10">
        <v>41087.0</v>
      </c>
    </row>
    <row r="118" ht="15.75" customHeight="1">
      <c r="A118" s="4" t="s">
        <v>158</v>
      </c>
      <c r="B118" s="5" t="s">
        <v>159</v>
      </c>
      <c r="C118" s="6">
        <v>51645.0</v>
      </c>
      <c r="D118" s="7">
        <v>21610.0</v>
      </c>
      <c r="E118" s="7">
        <v>13790.0</v>
      </c>
      <c r="F118" s="8">
        <f t="shared" si="1"/>
        <v>0.6381304951</v>
      </c>
      <c r="G118" s="8" t="str">
        <f t="shared" si="2"/>
        <v>POOR</v>
      </c>
      <c r="H118" s="9">
        <v>2.4</v>
      </c>
      <c r="I118" s="9">
        <v>150.0</v>
      </c>
      <c r="J118" s="9" t="str">
        <f t="array" ref="J118">IFS(I118&gt;299,"High HP",I118&gt;99,"Medium HP",I118&lt;100,"Low HP")</f>
        <v>Medium HP</v>
      </c>
      <c r="K118" s="9" t="s">
        <v>21</v>
      </c>
      <c r="L118" s="9">
        <v>27.0</v>
      </c>
      <c r="M118" s="9">
        <v>62.0158703</v>
      </c>
      <c r="N118" s="9">
        <v>104.1</v>
      </c>
      <c r="O118" s="9">
        <v>68.4</v>
      </c>
      <c r="P118" s="9">
        <v>181.9</v>
      </c>
      <c r="Q118" s="9">
        <v>2.906</v>
      </c>
      <c r="R118" s="9">
        <v>15.0</v>
      </c>
      <c r="S118" s="10">
        <v>40933.0</v>
      </c>
    </row>
    <row r="119" ht="15.75" customHeight="1">
      <c r="A119" s="4" t="s">
        <v>158</v>
      </c>
      <c r="B119" s="5" t="s">
        <v>160</v>
      </c>
      <c r="C119" s="6">
        <v>131097.0</v>
      </c>
      <c r="D119" s="7">
        <v>19720.0</v>
      </c>
      <c r="E119" s="7">
        <v>10290.0</v>
      </c>
      <c r="F119" s="8">
        <f t="shared" si="1"/>
        <v>0.5218052738</v>
      </c>
      <c r="G119" s="8" t="str">
        <f t="shared" si="2"/>
        <v>POOR</v>
      </c>
      <c r="H119" s="9">
        <v>3.4</v>
      </c>
      <c r="I119" s="9">
        <v>175.0</v>
      </c>
      <c r="J119" s="9" t="str">
        <f t="array" ref="J119">IFS(I119&gt;299,"High HP",I119&gt;99,"Medium HP",I119&lt;100,"Low HP")</f>
        <v>Medium HP</v>
      </c>
      <c r="K119" s="9" t="s">
        <v>21</v>
      </c>
      <c r="L119" s="9">
        <v>25.0</v>
      </c>
      <c r="M119" s="9">
        <v>70.38973726</v>
      </c>
      <c r="N119" s="9">
        <v>107.0</v>
      </c>
      <c r="O119" s="9">
        <v>70.4</v>
      </c>
      <c r="P119" s="9">
        <v>186.3</v>
      </c>
      <c r="Q119" s="9">
        <v>3.091</v>
      </c>
      <c r="R119" s="9">
        <v>15.2</v>
      </c>
      <c r="S119" s="10">
        <v>41239.0</v>
      </c>
    </row>
    <row r="120" ht="15.75" customHeight="1">
      <c r="A120" s="4" t="s">
        <v>158</v>
      </c>
      <c r="B120" s="5" t="s">
        <v>161</v>
      </c>
      <c r="C120" s="6">
        <v>19911.0</v>
      </c>
      <c r="D120" s="7">
        <v>25310.0</v>
      </c>
      <c r="E120" s="7">
        <v>17805.0</v>
      </c>
      <c r="F120" s="8">
        <f t="shared" si="1"/>
        <v>0.7034768866</v>
      </c>
      <c r="G120" s="8" t="str">
        <f t="shared" si="2"/>
        <v>GOOD</v>
      </c>
      <c r="H120" s="9">
        <v>3.8</v>
      </c>
      <c r="I120" s="9">
        <v>200.0</v>
      </c>
      <c r="J120" s="9" t="str">
        <f t="array" ref="J120">IFS(I120&gt;299,"High HP",I120&gt;99,"Medium HP",I120&lt;100,"Low HP")</f>
        <v>Medium HP</v>
      </c>
      <c r="K120" s="9" t="s">
        <v>21</v>
      </c>
      <c r="L120" s="9">
        <v>25.0</v>
      </c>
      <c r="M120" s="9">
        <v>81.49272616</v>
      </c>
      <c r="N120" s="9">
        <v>101.1</v>
      </c>
      <c r="O120" s="9">
        <v>74.5</v>
      </c>
      <c r="P120" s="9">
        <v>193.4</v>
      </c>
      <c r="Q120" s="9">
        <v>3.492</v>
      </c>
      <c r="R120" s="9">
        <v>16.8</v>
      </c>
      <c r="S120" s="10">
        <v>41076.0</v>
      </c>
    </row>
    <row r="121" ht="15.75" customHeight="1">
      <c r="A121" s="4" t="s">
        <v>158</v>
      </c>
      <c r="B121" s="5" t="s">
        <v>162</v>
      </c>
      <c r="C121" s="6">
        <v>92364.0</v>
      </c>
      <c r="D121" s="7">
        <v>21665.0</v>
      </c>
      <c r="E121" s="7">
        <v>14010.0</v>
      </c>
      <c r="F121" s="8">
        <f t="shared" si="1"/>
        <v>0.6466651281</v>
      </c>
      <c r="G121" s="8" t="str">
        <f t="shared" si="2"/>
        <v>POOR</v>
      </c>
      <c r="H121" s="9">
        <v>3.8</v>
      </c>
      <c r="I121" s="9">
        <v>195.0</v>
      </c>
      <c r="J121" s="9" t="str">
        <f t="array" ref="J121">IFS(I121&gt;299,"High HP",I121&gt;99,"Medium HP",I121&lt;100,"Low HP")</f>
        <v>Medium HP</v>
      </c>
      <c r="K121" s="9" t="s">
        <v>21</v>
      </c>
      <c r="L121" s="9">
        <v>25.0</v>
      </c>
      <c r="M121" s="9">
        <v>78.31816813</v>
      </c>
      <c r="N121" s="9">
        <v>110.5</v>
      </c>
      <c r="O121" s="9">
        <v>72.7</v>
      </c>
      <c r="P121" s="9">
        <v>196.5</v>
      </c>
      <c r="Q121" s="9">
        <v>3.396</v>
      </c>
      <c r="R121" s="9">
        <v>18.0</v>
      </c>
      <c r="S121" s="10">
        <v>41197.0</v>
      </c>
    </row>
    <row r="122" ht="15.75" customHeight="1">
      <c r="A122" s="4" t="s">
        <v>158</v>
      </c>
      <c r="B122" s="5" t="s">
        <v>163</v>
      </c>
      <c r="C122" s="6">
        <v>35945.0</v>
      </c>
      <c r="D122" s="7">
        <v>23755.0</v>
      </c>
      <c r="E122" s="7">
        <v>13225.0</v>
      </c>
      <c r="F122" s="8">
        <f t="shared" si="1"/>
        <v>0.5567249</v>
      </c>
      <c r="G122" s="8" t="str">
        <f t="shared" si="2"/>
        <v>POOR</v>
      </c>
      <c r="H122" s="9">
        <v>3.8</v>
      </c>
      <c r="I122" s="9">
        <v>205.0</v>
      </c>
      <c r="J122" s="9" t="str">
        <f t="array" ref="J122">IFS(I122&gt;299,"High HP",I122&gt;99,"Medium HP",I122&lt;100,"Low HP")</f>
        <v>Medium HP</v>
      </c>
      <c r="K122" s="9" t="s">
        <v>21</v>
      </c>
      <c r="L122" s="9">
        <v>24.0</v>
      </c>
      <c r="M122" s="9">
        <v>82.6613556</v>
      </c>
      <c r="N122" s="9">
        <v>112.2</v>
      </c>
      <c r="O122" s="9">
        <v>72.6</v>
      </c>
      <c r="P122" s="9">
        <v>202.5</v>
      </c>
      <c r="Q122" s="9">
        <v>3.59</v>
      </c>
      <c r="R122" s="9">
        <v>17.5</v>
      </c>
      <c r="S122" s="10">
        <v>40681.0</v>
      </c>
    </row>
    <row r="123" ht="15.75" customHeight="1">
      <c r="A123" s="4" t="s">
        <v>158</v>
      </c>
      <c r="B123" s="5" t="s">
        <v>164</v>
      </c>
      <c r="C123" s="6">
        <v>39572.0</v>
      </c>
      <c r="D123" s="7">
        <v>25635.0</v>
      </c>
      <c r="E123" s="7">
        <v>14215.0</v>
      </c>
      <c r="F123" s="8">
        <f t="shared" si="1"/>
        <v>0.5545153111</v>
      </c>
      <c r="G123" s="8" t="str">
        <f t="shared" si="2"/>
        <v>POOR</v>
      </c>
      <c r="H123" s="9">
        <v>3.4</v>
      </c>
      <c r="I123" s="9">
        <v>185.0</v>
      </c>
      <c r="J123" s="9" t="str">
        <f t="array" ref="J123">IFS(I123&gt;299,"High HP",I123&gt;99,"Medium HP",I123&lt;100,"Low HP")</f>
        <v>Medium HP</v>
      </c>
      <c r="K123" s="9" t="s">
        <v>43</v>
      </c>
      <c r="L123" s="9">
        <v>23.0</v>
      </c>
      <c r="M123" s="9">
        <v>76.20843952</v>
      </c>
      <c r="N123" s="9">
        <v>120.0</v>
      </c>
      <c r="O123" s="9">
        <v>72.7</v>
      </c>
      <c r="P123" s="9">
        <v>201.3</v>
      </c>
      <c r="Q123" s="9">
        <v>3.942</v>
      </c>
      <c r="R123" s="9">
        <v>25.0</v>
      </c>
      <c r="S123" s="10">
        <v>41112.0</v>
      </c>
    </row>
    <row r="124" ht="15.75" customHeight="1">
      <c r="A124" s="4" t="s">
        <v>165</v>
      </c>
      <c r="B124" s="5" t="s">
        <v>166</v>
      </c>
      <c r="C124" s="6">
        <v>8982.0</v>
      </c>
      <c r="D124" s="7">
        <v>41430.0</v>
      </c>
      <c r="E124" s="7">
        <v>41250.0</v>
      </c>
      <c r="F124" s="8">
        <f t="shared" si="1"/>
        <v>0.9956553222</v>
      </c>
      <c r="G124" s="8" t="str">
        <f t="shared" si="2"/>
        <v>GOOD</v>
      </c>
      <c r="H124" s="9">
        <v>2.7</v>
      </c>
      <c r="I124" s="9">
        <v>217.0</v>
      </c>
      <c r="J124" s="9" t="str">
        <f t="array" ref="J124">IFS(I124&gt;299,"High HP",I124&gt;99,"Medium HP",I124&lt;100,"Low HP")</f>
        <v>Medium HP</v>
      </c>
      <c r="K124" s="9" t="s">
        <v>21</v>
      </c>
      <c r="L124" s="9">
        <v>22.0</v>
      </c>
      <c r="M124" s="9">
        <v>93.4373307</v>
      </c>
      <c r="N124" s="9">
        <v>95.2</v>
      </c>
      <c r="O124" s="9">
        <v>70.1</v>
      </c>
      <c r="P124" s="9">
        <v>171.0</v>
      </c>
      <c r="Q124" s="9">
        <v>2.778</v>
      </c>
      <c r="R124" s="9">
        <v>17.0</v>
      </c>
      <c r="S124" s="10">
        <v>40958.0</v>
      </c>
    </row>
    <row r="125" ht="15.75" customHeight="1">
      <c r="A125" s="4" t="s">
        <v>165</v>
      </c>
      <c r="B125" s="5" t="s">
        <v>167</v>
      </c>
      <c r="C125" s="6">
        <v>1280.0</v>
      </c>
      <c r="D125" s="7">
        <v>71020.0</v>
      </c>
      <c r="E125" s="7">
        <v>60625.0</v>
      </c>
      <c r="F125" s="8">
        <f t="shared" si="1"/>
        <v>0.8536327795</v>
      </c>
      <c r="G125" s="8" t="str">
        <f t="shared" si="2"/>
        <v>GOOD</v>
      </c>
      <c r="H125" s="9">
        <v>3.4</v>
      </c>
      <c r="I125" s="9">
        <v>300.0</v>
      </c>
      <c r="J125" s="9" t="str">
        <f t="array" ref="J125">IFS(I125&gt;299,"High HP",I125&gt;99,"Medium HP",I125&lt;100,"Low HP")</f>
        <v>High HP</v>
      </c>
      <c r="K125" s="9" t="s">
        <v>21</v>
      </c>
      <c r="L125" s="9">
        <v>21.0</v>
      </c>
      <c r="M125" s="9">
        <v>134.3909754</v>
      </c>
      <c r="N125" s="9">
        <v>92.6</v>
      </c>
      <c r="O125" s="9">
        <v>69.5</v>
      </c>
      <c r="P125" s="9">
        <v>174.5</v>
      </c>
      <c r="Q125" s="9">
        <v>3.032</v>
      </c>
      <c r="R125" s="9">
        <v>17.0</v>
      </c>
      <c r="S125" s="10">
        <v>41264.0</v>
      </c>
    </row>
    <row r="126" ht="15.75" customHeight="1">
      <c r="A126" s="4" t="s">
        <v>165</v>
      </c>
      <c r="B126" s="5" t="s">
        <v>168</v>
      </c>
      <c r="C126" s="6">
        <v>1866.0</v>
      </c>
      <c r="D126" s="7">
        <v>74970.0</v>
      </c>
      <c r="E126" s="7">
        <v>67550.0</v>
      </c>
      <c r="F126" s="8">
        <f t="shared" si="1"/>
        <v>0.9010270775</v>
      </c>
      <c r="G126" s="8" t="str">
        <f t="shared" si="2"/>
        <v>GOOD</v>
      </c>
      <c r="H126" s="9">
        <v>3.4</v>
      </c>
      <c r="I126" s="9">
        <v>300.0</v>
      </c>
      <c r="J126" s="9" t="str">
        <f t="array" ref="J126">IFS(I126&gt;299,"High HP",I126&gt;99,"Medium HP",I126&lt;100,"Low HP")</f>
        <v>High HP</v>
      </c>
      <c r="K126" s="9" t="s">
        <v>21</v>
      </c>
      <c r="L126" s="9">
        <v>23.0</v>
      </c>
      <c r="M126" s="9">
        <v>135.9147096</v>
      </c>
      <c r="N126" s="9">
        <v>92.6</v>
      </c>
      <c r="O126" s="9">
        <v>69.5</v>
      </c>
      <c r="P126" s="9">
        <v>174.5</v>
      </c>
      <c r="Q126" s="9">
        <v>3.075</v>
      </c>
      <c r="R126" s="9">
        <v>17.0</v>
      </c>
      <c r="S126" s="10">
        <v>40735.0</v>
      </c>
    </row>
    <row r="127" ht="15.75" customHeight="1">
      <c r="A127" s="4" t="s">
        <v>169</v>
      </c>
      <c r="B127" s="14" t="s">
        <v>170</v>
      </c>
      <c r="C127" s="6">
        <v>9191.0</v>
      </c>
      <c r="D127" s="7">
        <v>33120.0</v>
      </c>
      <c r="E127" s="7">
        <v>22789.0</v>
      </c>
      <c r="F127" s="8">
        <f t="shared" si="1"/>
        <v>0.6880736715</v>
      </c>
      <c r="G127" s="8" t="str">
        <f t="shared" si="2"/>
        <v>POOR</v>
      </c>
      <c r="H127" s="9">
        <v>2.3</v>
      </c>
      <c r="I127" s="9">
        <v>170.0</v>
      </c>
      <c r="J127" s="9" t="str">
        <f t="array" ref="J127">IFS(I127&gt;299,"High HP",I127&gt;99,"Medium HP",I127&lt;100,"Low HP")</f>
        <v>Medium HP</v>
      </c>
      <c r="K127" s="9" t="s">
        <v>21</v>
      </c>
      <c r="L127" s="9">
        <v>23.0</v>
      </c>
      <c r="M127" s="9">
        <v>73.50377819</v>
      </c>
      <c r="N127" s="9">
        <v>106.4</v>
      </c>
      <c r="O127" s="9">
        <v>70.6</v>
      </c>
      <c r="P127" s="9">
        <v>189.2</v>
      </c>
      <c r="Q127" s="9">
        <v>3.28</v>
      </c>
      <c r="R127" s="9">
        <v>18.5</v>
      </c>
      <c r="S127" s="10">
        <v>41222.0</v>
      </c>
    </row>
    <row r="128" ht="15.75" customHeight="1">
      <c r="A128" s="4" t="s">
        <v>169</v>
      </c>
      <c r="B128" s="14" t="s">
        <v>171</v>
      </c>
      <c r="C128" s="6">
        <v>12115.0</v>
      </c>
      <c r="D128" s="7">
        <v>26100.0</v>
      </c>
      <c r="E128" s="7">
        <v>18255.0</v>
      </c>
      <c r="F128" s="8">
        <f t="shared" si="1"/>
        <v>0.6994252874</v>
      </c>
      <c r="G128" s="8" t="str">
        <f t="shared" si="2"/>
        <v>GOOD</v>
      </c>
      <c r="H128" s="9">
        <v>2.0</v>
      </c>
      <c r="I128" s="9">
        <v>185.0</v>
      </c>
      <c r="J128" s="9" t="str">
        <f t="array" ref="J128">IFS(I128&gt;299,"High HP",I128&gt;99,"Medium HP",I128&lt;100,"Low HP")</f>
        <v>Medium HP</v>
      </c>
      <c r="K128" s="9" t="s">
        <v>21</v>
      </c>
      <c r="L128" s="9">
        <v>23.0</v>
      </c>
      <c r="M128" s="9">
        <v>76.02304771</v>
      </c>
      <c r="N128" s="9">
        <v>102.6</v>
      </c>
      <c r="O128" s="9">
        <v>67.4</v>
      </c>
      <c r="P128" s="9">
        <v>182.2</v>
      </c>
      <c r="Q128" s="9">
        <v>2.99</v>
      </c>
      <c r="R128" s="9">
        <v>16.9</v>
      </c>
      <c r="S128" s="10">
        <v>40706.0</v>
      </c>
    </row>
    <row r="129" ht="15.75" customHeight="1">
      <c r="A129" s="4" t="s">
        <v>172</v>
      </c>
      <c r="B129" s="5" t="s">
        <v>173</v>
      </c>
      <c r="C129" s="6">
        <v>80620.0</v>
      </c>
      <c r="D129" s="7">
        <v>10685.0</v>
      </c>
      <c r="E129" s="7">
        <v>9200.0</v>
      </c>
      <c r="F129" s="8">
        <f t="shared" si="1"/>
        <v>0.8610201217</v>
      </c>
      <c r="G129" s="8" t="str">
        <f t="shared" si="2"/>
        <v>GOOD</v>
      </c>
      <c r="H129" s="9">
        <v>1.9</v>
      </c>
      <c r="I129" s="9">
        <v>100.0</v>
      </c>
      <c r="J129" s="9" t="str">
        <f t="array" ref="J129">IFS(I129&gt;299,"High HP",I129&gt;99,"Medium HP",I129&lt;100,"Low HP")</f>
        <v>Medium HP</v>
      </c>
      <c r="K129" s="9" t="s">
        <v>21</v>
      </c>
      <c r="L129" s="9">
        <v>33.0</v>
      </c>
      <c r="M129" s="9">
        <v>39.98642475</v>
      </c>
      <c r="N129" s="9">
        <v>102.4</v>
      </c>
      <c r="O129" s="9">
        <v>66.4</v>
      </c>
      <c r="P129" s="9">
        <v>176.9</v>
      </c>
      <c r="Q129" s="9">
        <v>2.332</v>
      </c>
      <c r="R129" s="9">
        <v>12.1</v>
      </c>
      <c r="S129" s="10">
        <v>41137.0</v>
      </c>
    </row>
    <row r="130" ht="15.75" customHeight="1">
      <c r="A130" s="4" t="s">
        <v>172</v>
      </c>
      <c r="B130" s="5" t="s">
        <v>174</v>
      </c>
      <c r="C130" s="6">
        <v>24546.0</v>
      </c>
      <c r="D130" s="7">
        <v>12535.0</v>
      </c>
      <c r="E130" s="7">
        <v>10590.0</v>
      </c>
      <c r="F130" s="8">
        <f t="shared" si="1"/>
        <v>0.8448344635</v>
      </c>
      <c r="G130" s="8" t="str">
        <f t="shared" si="2"/>
        <v>GOOD</v>
      </c>
      <c r="H130" s="9">
        <v>1.9</v>
      </c>
      <c r="I130" s="9">
        <v>100.0</v>
      </c>
      <c r="J130" s="9" t="str">
        <f t="array" ref="J130">IFS(I130&gt;299,"High HP",I130&gt;99,"Medium HP",I130&lt;100,"Low HP")</f>
        <v>Medium HP</v>
      </c>
      <c r="K130" s="9" t="s">
        <v>21</v>
      </c>
      <c r="L130" s="9">
        <v>33.0</v>
      </c>
      <c r="M130" s="9">
        <v>40.70007242</v>
      </c>
      <c r="N130" s="9">
        <v>102.4</v>
      </c>
      <c r="O130" s="9">
        <v>66.4</v>
      </c>
      <c r="P130" s="9">
        <v>180.0</v>
      </c>
      <c r="Q130" s="9">
        <v>2.367</v>
      </c>
      <c r="R130" s="9">
        <v>12.1</v>
      </c>
      <c r="S130" s="10">
        <v>40618.0</v>
      </c>
    </row>
    <row r="131" ht="15.75" customHeight="1">
      <c r="A131" s="4" t="s">
        <v>172</v>
      </c>
      <c r="B131" s="5" t="s">
        <v>175</v>
      </c>
      <c r="C131" s="6">
        <v>5223.0</v>
      </c>
      <c r="D131" s="7">
        <v>14290.0</v>
      </c>
      <c r="E131" s="7">
        <v>10790.0</v>
      </c>
      <c r="F131" s="8">
        <f t="shared" si="1"/>
        <v>0.755073478</v>
      </c>
      <c r="G131" s="8" t="str">
        <f t="shared" si="2"/>
        <v>GOOD</v>
      </c>
      <c r="H131" s="9">
        <v>1.9</v>
      </c>
      <c r="I131" s="9">
        <v>124.0</v>
      </c>
      <c r="J131" s="9" t="str">
        <f t="array" ref="J131">IFS(I131&gt;299,"High HP",I131&gt;99,"Medium HP",I131&lt;100,"Low HP")</f>
        <v>Medium HP</v>
      </c>
      <c r="K131" s="9" t="s">
        <v>21</v>
      </c>
      <c r="L131" s="9">
        <v>31.0</v>
      </c>
      <c r="M131" s="9">
        <v>49.86577367</v>
      </c>
      <c r="N131" s="9">
        <v>102.4</v>
      </c>
      <c r="O131" s="9">
        <v>66.4</v>
      </c>
      <c r="P131" s="9">
        <v>176.9</v>
      </c>
      <c r="Q131" s="9">
        <v>2.452</v>
      </c>
      <c r="R131" s="9">
        <v>12.1</v>
      </c>
      <c r="S131" s="10">
        <v>40558.0</v>
      </c>
    </row>
    <row r="132" ht="15.75" customHeight="1">
      <c r="A132" s="4" t="s">
        <v>172</v>
      </c>
      <c r="B132" s="5" t="s">
        <v>176</v>
      </c>
      <c r="C132" s="6">
        <v>8472.0</v>
      </c>
      <c r="D132" s="7">
        <v>18835.0</v>
      </c>
      <c r="E132" s="7">
        <v>13700.0</v>
      </c>
      <c r="F132" s="8">
        <f t="shared" si="1"/>
        <v>0.7273692594</v>
      </c>
      <c r="G132" s="8" t="str">
        <f t="shared" si="2"/>
        <v>GOOD</v>
      </c>
      <c r="H132" s="9">
        <v>2.2</v>
      </c>
      <c r="I132" s="9">
        <v>137.0</v>
      </c>
      <c r="J132" s="9" t="str">
        <f t="array" ref="J132">IFS(I132&gt;299,"High HP",I132&gt;99,"Medium HP",I132&lt;100,"Low HP")</f>
        <v>Medium HP</v>
      </c>
      <c r="K132" s="9" t="s">
        <v>21</v>
      </c>
      <c r="L132" s="9">
        <v>27.0</v>
      </c>
      <c r="M132" s="9">
        <v>56.29524304</v>
      </c>
      <c r="N132" s="9">
        <v>106.5</v>
      </c>
      <c r="O132" s="9">
        <v>69.0</v>
      </c>
      <c r="P132" s="9">
        <v>190.4</v>
      </c>
      <c r="Q132" s="9">
        <v>3.075</v>
      </c>
      <c r="R132" s="9">
        <v>13.1</v>
      </c>
      <c r="S132" s="10">
        <v>40760.0</v>
      </c>
    </row>
    <row r="133" ht="15.75" customHeight="1">
      <c r="A133" s="4" t="s">
        <v>172</v>
      </c>
      <c r="B133" s="5" t="s">
        <v>177</v>
      </c>
      <c r="C133" s="6">
        <v>49989.0</v>
      </c>
      <c r="D133" s="7">
        <v>15010.0</v>
      </c>
      <c r="E133" s="7">
        <v>9900.0</v>
      </c>
      <c r="F133" s="8">
        <f t="shared" si="1"/>
        <v>0.6595602931</v>
      </c>
      <c r="G133" s="8" t="str">
        <f t="shared" si="2"/>
        <v>POOR</v>
      </c>
      <c r="H133" s="9">
        <v>2.2</v>
      </c>
      <c r="I133" s="9">
        <v>137.0</v>
      </c>
      <c r="J133" s="9" t="str">
        <f t="array" ref="J133">IFS(I133&gt;299,"High HP",I133&gt;99,"Medium HP",I133&lt;100,"Low HP")</f>
        <v>Medium HP</v>
      </c>
      <c r="K133" s="9" t="s">
        <v>21</v>
      </c>
      <c r="L133" s="9">
        <v>28.0</v>
      </c>
      <c r="M133" s="9">
        <v>54.81972825</v>
      </c>
      <c r="N133" s="9">
        <v>106.5</v>
      </c>
      <c r="O133" s="9">
        <v>69.0</v>
      </c>
      <c r="P133" s="9">
        <v>190.4</v>
      </c>
      <c r="Q133" s="9">
        <v>2.91</v>
      </c>
      <c r="R133" s="9">
        <v>13.1</v>
      </c>
      <c r="S133" s="10">
        <v>41247.0</v>
      </c>
    </row>
    <row r="134" ht="15.75" customHeight="1">
      <c r="A134" s="4" t="s">
        <v>178</v>
      </c>
      <c r="B134" s="5" t="s">
        <v>179</v>
      </c>
      <c r="C134" s="6">
        <v>47107.0</v>
      </c>
      <c r="D134" s="7">
        <v>22695.0</v>
      </c>
      <c r="E134" s="7">
        <v>16770.0</v>
      </c>
      <c r="F134" s="8">
        <f t="shared" si="1"/>
        <v>0.7389292796</v>
      </c>
      <c r="G134" s="8" t="str">
        <f t="shared" si="2"/>
        <v>GOOD</v>
      </c>
      <c r="H134" s="9">
        <v>2.5</v>
      </c>
      <c r="I134" s="9">
        <v>165.0</v>
      </c>
      <c r="J134" s="9" t="str">
        <f t="array" ref="J134">IFS(I134&gt;299,"High HP",I134&gt;99,"Medium HP",I134&lt;100,"Low HP")</f>
        <v>Medium HP</v>
      </c>
      <c r="K134" s="9" t="s">
        <v>21</v>
      </c>
      <c r="L134" s="9">
        <v>25.0</v>
      </c>
      <c r="M134" s="9">
        <v>67.7659076</v>
      </c>
      <c r="N134" s="9">
        <v>103.5</v>
      </c>
      <c r="O134" s="9">
        <v>67.5</v>
      </c>
      <c r="P134" s="9">
        <v>185.8</v>
      </c>
      <c r="Q134" s="9">
        <v>3.415</v>
      </c>
      <c r="R134" s="9">
        <v>16.9</v>
      </c>
      <c r="S134" s="10">
        <v>40731.0</v>
      </c>
    </row>
    <row r="135" ht="15.75" customHeight="1">
      <c r="A135" s="4" t="s">
        <v>178</v>
      </c>
      <c r="B135" s="5" t="s">
        <v>180</v>
      </c>
      <c r="C135" s="6">
        <v>33028.0</v>
      </c>
      <c r="D135" s="7">
        <v>20095.0</v>
      </c>
      <c r="E135" s="7">
        <v>14832.0</v>
      </c>
      <c r="F135" s="8">
        <f t="shared" si="1"/>
        <v>0.7380940532</v>
      </c>
      <c r="G135" s="8" t="str">
        <f t="shared" si="2"/>
        <v>GOOD</v>
      </c>
      <c r="H135" s="9">
        <v>2.5</v>
      </c>
      <c r="I135" s="9">
        <v>165.0</v>
      </c>
      <c r="J135" s="9" t="str">
        <f t="array" ref="J135">IFS(I135&gt;299,"High HP",I135&gt;99,"Medium HP",I135&lt;100,"Low HP")</f>
        <v>Medium HP</v>
      </c>
      <c r="K135" s="9" t="s">
        <v>43</v>
      </c>
      <c r="L135" s="9">
        <v>24.0</v>
      </c>
      <c r="M135" s="9">
        <v>66.76294331</v>
      </c>
      <c r="N135" s="9">
        <v>99.4</v>
      </c>
      <c r="O135" s="9">
        <v>68.3</v>
      </c>
      <c r="P135" s="9">
        <v>175.2</v>
      </c>
      <c r="Q135" s="9">
        <v>3.125</v>
      </c>
      <c r="R135" s="9">
        <v>15.9</v>
      </c>
      <c r="S135" s="10">
        <v>41162.0</v>
      </c>
    </row>
    <row r="136" ht="15.75" customHeight="1">
      <c r="A136" s="4" t="s">
        <v>181</v>
      </c>
      <c r="B136" s="5" t="s">
        <v>182</v>
      </c>
      <c r="C136" s="6">
        <v>142535.0</v>
      </c>
      <c r="D136" s="7">
        <v>13108.0</v>
      </c>
      <c r="E136" s="7">
        <v>10025.0</v>
      </c>
      <c r="F136" s="8">
        <f t="shared" si="1"/>
        <v>0.7648001221</v>
      </c>
      <c r="G136" s="8" t="str">
        <f t="shared" si="2"/>
        <v>GOOD</v>
      </c>
      <c r="H136" s="9">
        <v>1.8</v>
      </c>
      <c r="I136" s="9">
        <v>120.0</v>
      </c>
      <c r="J136" s="9" t="str">
        <f t="array" ref="J136">IFS(I136&gt;299,"High HP",I136&gt;99,"Medium HP",I136&lt;100,"Low HP")</f>
        <v>Medium HP</v>
      </c>
      <c r="K136" s="9" t="s">
        <v>21</v>
      </c>
      <c r="L136" s="9">
        <v>33.0</v>
      </c>
      <c r="M136" s="9">
        <v>47.96897242</v>
      </c>
      <c r="N136" s="9">
        <v>97.0</v>
      </c>
      <c r="O136" s="9">
        <v>66.7</v>
      </c>
      <c r="P136" s="9">
        <v>174.0</v>
      </c>
      <c r="Q136" s="9">
        <v>2.42</v>
      </c>
      <c r="R136" s="9">
        <v>13.2</v>
      </c>
      <c r="S136" s="10">
        <v>40644.0</v>
      </c>
    </row>
    <row r="137" ht="15.75" customHeight="1">
      <c r="A137" s="4" t="s">
        <v>181</v>
      </c>
      <c r="B137" s="5" t="s">
        <v>183</v>
      </c>
      <c r="C137" s="6">
        <v>247994.0</v>
      </c>
      <c r="D137" s="7">
        <v>17518.0</v>
      </c>
      <c r="E137" s="7">
        <v>13245.0</v>
      </c>
      <c r="F137" s="8">
        <f t="shared" si="1"/>
        <v>0.7560794611</v>
      </c>
      <c r="G137" s="8" t="str">
        <f t="shared" si="2"/>
        <v>GOOD</v>
      </c>
      <c r="H137" s="9">
        <v>2.2</v>
      </c>
      <c r="I137" s="9">
        <v>133.0</v>
      </c>
      <c r="J137" s="9" t="str">
        <f t="array" ref="J137">IFS(I137&gt;299,"High HP",I137&gt;99,"Medium HP",I137&lt;100,"Low HP")</f>
        <v>Medium HP</v>
      </c>
      <c r="K137" s="9" t="s">
        <v>21</v>
      </c>
      <c r="L137" s="9">
        <v>27.0</v>
      </c>
      <c r="M137" s="9">
        <v>54.37241965</v>
      </c>
      <c r="N137" s="9">
        <v>105.2</v>
      </c>
      <c r="O137" s="9">
        <v>70.1</v>
      </c>
      <c r="P137" s="9">
        <v>188.5</v>
      </c>
      <c r="Q137" s="9">
        <v>2.998</v>
      </c>
      <c r="R137" s="9">
        <v>18.5</v>
      </c>
      <c r="S137" s="10">
        <v>40584.0</v>
      </c>
    </row>
    <row r="138" ht="15.75" customHeight="1">
      <c r="A138" s="4" t="s">
        <v>181</v>
      </c>
      <c r="B138" s="5" t="s">
        <v>184</v>
      </c>
      <c r="C138" s="6">
        <v>63849.0</v>
      </c>
      <c r="D138" s="7">
        <v>25545.0</v>
      </c>
      <c r="E138" s="7">
        <v>18140.0</v>
      </c>
      <c r="F138" s="8">
        <f t="shared" si="1"/>
        <v>0.7101193971</v>
      </c>
      <c r="G138" s="8" t="str">
        <f t="shared" si="2"/>
        <v>GOOD</v>
      </c>
      <c r="H138" s="9">
        <v>3.0</v>
      </c>
      <c r="I138" s="9">
        <v>210.0</v>
      </c>
      <c r="J138" s="9" t="str">
        <f t="array" ref="J138">IFS(I138&gt;299,"High HP",I138&gt;99,"Medium HP",I138&lt;100,"Low HP")</f>
        <v>Medium HP</v>
      </c>
      <c r="K138" s="9" t="s">
        <v>21</v>
      </c>
      <c r="L138" s="9">
        <v>26.0</v>
      </c>
      <c r="M138" s="9">
        <v>84.91189826</v>
      </c>
      <c r="N138" s="9">
        <v>107.1</v>
      </c>
      <c r="O138" s="9">
        <v>71.7</v>
      </c>
      <c r="P138" s="9">
        <v>191.9</v>
      </c>
      <c r="Q138" s="9">
        <v>3.417</v>
      </c>
      <c r="R138" s="9">
        <v>18.5</v>
      </c>
      <c r="S138" s="10">
        <v>40786.0</v>
      </c>
    </row>
    <row r="139" ht="15.75" customHeight="1">
      <c r="A139" s="4" t="s">
        <v>181</v>
      </c>
      <c r="B139" s="5" t="s">
        <v>185</v>
      </c>
      <c r="C139" s="6">
        <v>33269.0</v>
      </c>
      <c r="D139" s="7">
        <v>16875.0</v>
      </c>
      <c r="E139" s="7">
        <v>15445.0</v>
      </c>
      <c r="F139" s="8">
        <f t="shared" si="1"/>
        <v>0.9152592593</v>
      </c>
      <c r="G139" s="8" t="str">
        <f t="shared" si="2"/>
        <v>GOOD</v>
      </c>
      <c r="H139" s="9">
        <v>1.8</v>
      </c>
      <c r="I139" s="9">
        <v>140.0</v>
      </c>
      <c r="J139" s="9" t="str">
        <f t="array" ref="J139">IFS(I139&gt;299,"High HP",I139&gt;99,"Medium HP",I139&lt;100,"Low HP")</f>
        <v>Medium HP</v>
      </c>
      <c r="K139" s="9" t="s">
        <v>21</v>
      </c>
      <c r="L139" s="9">
        <v>31.0</v>
      </c>
      <c r="M139" s="9">
        <v>56.49603034</v>
      </c>
      <c r="N139" s="9">
        <v>102.4</v>
      </c>
      <c r="O139" s="9">
        <v>68.3</v>
      </c>
      <c r="P139" s="9">
        <v>170.5</v>
      </c>
      <c r="Q139" s="9">
        <v>2.425</v>
      </c>
      <c r="R139" s="9">
        <v>14.5</v>
      </c>
      <c r="S139" s="10">
        <v>41272.0</v>
      </c>
    </row>
    <row r="140" ht="15.75" customHeight="1">
      <c r="A140" s="4" t="s">
        <v>181</v>
      </c>
      <c r="B140" s="5" t="s">
        <v>186</v>
      </c>
      <c r="C140" s="6">
        <v>84087.0</v>
      </c>
      <c r="D140" s="7">
        <v>11528.0</v>
      </c>
      <c r="E140" s="7">
        <v>9575.0</v>
      </c>
      <c r="F140" s="8">
        <f t="shared" si="1"/>
        <v>0.8305863983</v>
      </c>
      <c r="G140" s="8" t="str">
        <f t="shared" si="2"/>
        <v>GOOD</v>
      </c>
      <c r="H140" s="9">
        <v>2.4</v>
      </c>
      <c r="I140" s="9">
        <v>142.0</v>
      </c>
      <c r="J140" s="9" t="str">
        <f t="array" ref="J140">IFS(I140&gt;299,"High HP",I140&gt;99,"Medium HP",I140&lt;100,"Low HP")</f>
        <v>Medium HP</v>
      </c>
      <c r="K140" s="9" t="s">
        <v>43</v>
      </c>
      <c r="L140" s="9">
        <v>23.0</v>
      </c>
      <c r="M140" s="9">
        <v>55.29711658</v>
      </c>
      <c r="N140" s="9">
        <v>103.3</v>
      </c>
      <c r="O140" s="9">
        <v>66.5</v>
      </c>
      <c r="P140" s="9">
        <v>178.7</v>
      </c>
      <c r="Q140" s="9">
        <v>2.58</v>
      </c>
      <c r="R140" s="9">
        <v>15.1</v>
      </c>
      <c r="S140" s="10">
        <v>40756.0</v>
      </c>
    </row>
    <row r="141" ht="15.75" customHeight="1">
      <c r="A141" s="4" t="s">
        <v>181</v>
      </c>
      <c r="B141" s="5" t="s">
        <v>187</v>
      </c>
      <c r="C141" s="6">
        <v>65119.0</v>
      </c>
      <c r="D141" s="7">
        <v>22368.0</v>
      </c>
      <c r="E141" s="7">
        <v>18689.0</v>
      </c>
      <c r="F141" s="8">
        <f t="shared" si="1"/>
        <v>0.8355239628</v>
      </c>
      <c r="G141" s="8" t="str">
        <f t="shared" si="2"/>
        <v>GOOD</v>
      </c>
      <c r="H141" s="9">
        <v>3.0</v>
      </c>
      <c r="I141" s="9">
        <v>194.0</v>
      </c>
      <c r="J141" s="9" t="str">
        <f t="array" ref="J141">IFS(I141&gt;299,"High HP",I141&gt;99,"Medium HP",I141&lt;100,"Low HP")</f>
        <v>Medium HP</v>
      </c>
      <c r="K141" s="9" t="s">
        <v>43</v>
      </c>
      <c r="L141" s="9">
        <v>22.0</v>
      </c>
      <c r="M141" s="9">
        <v>78.02721947</v>
      </c>
      <c r="N141" s="9">
        <v>114.2</v>
      </c>
      <c r="O141" s="9">
        <v>73.4</v>
      </c>
      <c r="P141" s="9">
        <v>193.5</v>
      </c>
      <c r="Q141" s="9">
        <v>3.759</v>
      </c>
      <c r="R141" s="9">
        <v>20.9</v>
      </c>
      <c r="S141" s="10">
        <v>41187.0</v>
      </c>
    </row>
    <row r="142" ht="15.75" customHeight="1">
      <c r="A142" s="4" t="s">
        <v>181</v>
      </c>
      <c r="B142" s="5" t="s">
        <v>188</v>
      </c>
      <c r="C142" s="6">
        <v>25106.0</v>
      </c>
      <c r="D142" s="7">
        <v>16888.0</v>
      </c>
      <c r="E142" s="7">
        <v>13325.0</v>
      </c>
      <c r="F142" s="8">
        <f t="shared" si="1"/>
        <v>0.7890217906</v>
      </c>
      <c r="G142" s="8" t="str">
        <f t="shared" si="2"/>
        <v>GOOD</v>
      </c>
      <c r="H142" s="9">
        <v>2.0</v>
      </c>
      <c r="I142" s="9">
        <v>127.0</v>
      </c>
      <c r="J142" s="9" t="str">
        <f t="array" ref="J142">IFS(I142&gt;299,"High HP",I142&gt;99,"Medium HP",I142&lt;100,"Low HP")</f>
        <v>Medium HP</v>
      </c>
      <c r="K142" s="9" t="s">
        <v>43</v>
      </c>
      <c r="L142" s="9">
        <v>27.0</v>
      </c>
      <c r="M142" s="9">
        <v>51.95510887</v>
      </c>
      <c r="N142" s="9">
        <v>94.9</v>
      </c>
      <c r="O142" s="9">
        <v>66.7</v>
      </c>
      <c r="P142" s="9">
        <v>163.8</v>
      </c>
      <c r="Q142" s="9">
        <v>2.668</v>
      </c>
      <c r="R142" s="9">
        <v>15.3</v>
      </c>
      <c r="S142" s="10">
        <v>40669.0</v>
      </c>
    </row>
    <row r="143" ht="15.75" customHeight="1">
      <c r="A143" s="4" t="s">
        <v>181</v>
      </c>
      <c r="B143" s="5" t="s">
        <v>189</v>
      </c>
      <c r="C143" s="6">
        <v>68411.0</v>
      </c>
      <c r="D143" s="7">
        <v>22288.0</v>
      </c>
      <c r="E143" s="7">
        <v>19425.0</v>
      </c>
      <c r="F143" s="8">
        <f t="shared" si="1"/>
        <v>0.8715452261</v>
      </c>
      <c r="G143" s="8" t="str">
        <f t="shared" si="2"/>
        <v>GOOD</v>
      </c>
      <c r="H143" s="9">
        <v>2.7</v>
      </c>
      <c r="I143" s="9">
        <v>150.0</v>
      </c>
      <c r="J143" s="9" t="str">
        <f t="array" ref="J143">IFS(I143&gt;299,"High HP",I143&gt;99,"Medium HP",I143&lt;100,"Low HP")</f>
        <v>Medium HP</v>
      </c>
      <c r="K143" s="9" t="s">
        <v>43</v>
      </c>
      <c r="L143" s="9">
        <v>23.0</v>
      </c>
      <c r="M143" s="9">
        <v>62.35557713</v>
      </c>
      <c r="N143" s="9">
        <v>105.3</v>
      </c>
      <c r="O143" s="9">
        <v>66.5</v>
      </c>
      <c r="P143" s="9">
        <v>183.3</v>
      </c>
      <c r="Q143" s="9">
        <v>3.44</v>
      </c>
      <c r="R143" s="9">
        <v>18.5</v>
      </c>
      <c r="S143" s="10">
        <v>40609.0</v>
      </c>
    </row>
    <row r="144" ht="15.75" customHeight="1">
      <c r="A144" s="4" t="s">
        <v>181</v>
      </c>
      <c r="B144" s="5" t="s">
        <v>190</v>
      </c>
      <c r="C144" s="6">
        <v>9835.0</v>
      </c>
      <c r="D144" s="7">
        <v>51728.0</v>
      </c>
      <c r="E144" s="7">
        <v>34080.0</v>
      </c>
      <c r="F144" s="8">
        <f t="shared" si="1"/>
        <v>0.6588308073</v>
      </c>
      <c r="G144" s="8" t="str">
        <f t="shared" si="2"/>
        <v>POOR</v>
      </c>
      <c r="H144" s="9">
        <v>4.7</v>
      </c>
      <c r="I144" s="9">
        <v>230.0</v>
      </c>
      <c r="J144" s="9" t="str">
        <f t="array" ref="J144">IFS(I144&gt;299,"High HP",I144&gt;99,"Medium HP",I144&lt;100,"Low HP")</f>
        <v>Medium HP</v>
      </c>
      <c r="K144" s="9" t="s">
        <v>43</v>
      </c>
      <c r="L144" s="9">
        <v>15.0</v>
      </c>
      <c r="M144" s="9">
        <v>102.5289842</v>
      </c>
      <c r="N144" s="9">
        <v>112.2</v>
      </c>
      <c r="O144" s="9">
        <v>76.4</v>
      </c>
      <c r="P144" s="9">
        <v>192.5</v>
      </c>
      <c r="Q144" s="9">
        <v>5.115</v>
      </c>
      <c r="R144" s="9">
        <v>25.4</v>
      </c>
      <c r="S144" s="10">
        <v>40811.0</v>
      </c>
    </row>
    <row r="145" ht="15.75" customHeight="1">
      <c r="A145" s="4" t="s">
        <v>191</v>
      </c>
      <c r="B145" s="5" t="s">
        <v>192</v>
      </c>
      <c r="C145" s="6">
        <v>9761.0</v>
      </c>
      <c r="D145" s="7">
        <v>14900.0</v>
      </c>
      <c r="E145" s="7">
        <v>11425.0</v>
      </c>
      <c r="F145" s="8">
        <f t="shared" si="1"/>
        <v>0.7667785235</v>
      </c>
      <c r="G145" s="8" t="str">
        <f t="shared" si="2"/>
        <v>GOOD</v>
      </c>
      <c r="H145" s="9">
        <v>2.0</v>
      </c>
      <c r="I145" s="9">
        <v>115.0</v>
      </c>
      <c r="J145" s="9" t="str">
        <f t="array" ref="J145">IFS(I145&gt;299,"High HP",I145&gt;99,"Medium HP",I145&lt;100,"Low HP")</f>
        <v>Medium HP</v>
      </c>
      <c r="K145" s="9" t="s">
        <v>21</v>
      </c>
      <c r="L145" s="9">
        <v>26.0</v>
      </c>
      <c r="M145" s="9">
        <v>46.94387676</v>
      </c>
      <c r="N145" s="9">
        <v>98.9</v>
      </c>
      <c r="O145" s="9">
        <v>68.3</v>
      </c>
      <c r="P145" s="9">
        <v>163.3</v>
      </c>
      <c r="Q145" s="9">
        <v>2.767</v>
      </c>
      <c r="R145" s="9">
        <v>14.5</v>
      </c>
      <c r="S145" s="10">
        <v>40567.0</v>
      </c>
    </row>
    <row r="146" ht="15.75" customHeight="1">
      <c r="A146" s="4" t="s">
        <v>191</v>
      </c>
      <c r="B146" s="5" t="s">
        <v>193</v>
      </c>
      <c r="C146" s="6">
        <v>83721.0</v>
      </c>
      <c r="D146" s="7">
        <v>16700.0</v>
      </c>
      <c r="E146" s="7">
        <v>13240.0</v>
      </c>
      <c r="F146" s="8">
        <f t="shared" si="1"/>
        <v>0.7928143713</v>
      </c>
      <c r="G146" s="8" t="str">
        <f t="shared" si="2"/>
        <v>GOOD</v>
      </c>
      <c r="H146" s="9">
        <v>2.0</v>
      </c>
      <c r="I146" s="9">
        <v>115.0</v>
      </c>
      <c r="J146" s="9" t="str">
        <f t="array" ref="J146">IFS(I146&gt;299,"High HP",I146&gt;99,"Medium HP",I146&lt;100,"Low HP")</f>
        <v>Medium HP</v>
      </c>
      <c r="K146" s="9" t="s">
        <v>21</v>
      </c>
      <c r="L146" s="9">
        <v>26.0</v>
      </c>
      <c r="M146" s="9">
        <v>47.63823666</v>
      </c>
      <c r="N146" s="9">
        <v>98.9</v>
      </c>
      <c r="O146" s="9">
        <v>68.3</v>
      </c>
      <c r="P146" s="9">
        <v>172.3</v>
      </c>
      <c r="Q146" s="9">
        <v>2.853</v>
      </c>
      <c r="R146" s="9">
        <v>14.5</v>
      </c>
      <c r="S146" s="10">
        <v>40782.0</v>
      </c>
    </row>
    <row r="147" ht="15.75" customHeight="1">
      <c r="A147" s="4" t="s">
        <v>191</v>
      </c>
      <c r="B147" s="5" t="s">
        <v>194</v>
      </c>
      <c r="C147" s="6">
        <v>51102.0</v>
      </c>
      <c r="D147" s="7">
        <v>21200.0</v>
      </c>
      <c r="E147" s="7">
        <v>16725.0</v>
      </c>
      <c r="F147" s="8">
        <f t="shared" si="1"/>
        <v>0.7889150943</v>
      </c>
      <c r="G147" s="8" t="str">
        <f t="shared" si="2"/>
        <v>GOOD</v>
      </c>
      <c r="H147" s="9">
        <v>1.8</v>
      </c>
      <c r="I147" s="9">
        <v>150.0</v>
      </c>
      <c r="J147" s="9" t="str">
        <f t="array" ref="J147">IFS(I147&gt;299,"High HP",I147&gt;99,"Medium HP",I147&lt;100,"Low HP")</f>
        <v>Medium HP</v>
      </c>
      <c r="K147" s="9" t="s">
        <v>21</v>
      </c>
      <c r="L147" s="9">
        <v>27.0</v>
      </c>
      <c r="M147" s="9">
        <v>61.70138136</v>
      </c>
      <c r="N147" s="9">
        <v>106.4</v>
      </c>
      <c r="O147" s="9">
        <v>68.5</v>
      </c>
      <c r="P147" s="9">
        <v>184.1</v>
      </c>
      <c r="Q147" s="9">
        <v>3.043</v>
      </c>
      <c r="R147" s="9">
        <v>16.4</v>
      </c>
      <c r="S147" s="10">
        <v>41212.0</v>
      </c>
    </row>
    <row r="148" ht="15.75" customHeight="1">
      <c r="A148" s="4" t="s">
        <v>191</v>
      </c>
      <c r="B148" s="5" t="s">
        <v>195</v>
      </c>
      <c r="C148" s="6">
        <v>9569.0</v>
      </c>
      <c r="D148" s="7">
        <v>19990.0</v>
      </c>
      <c r="E148" s="7">
        <v>16575.0</v>
      </c>
      <c r="F148" s="8">
        <f t="shared" si="1"/>
        <v>0.8291645823</v>
      </c>
      <c r="G148" s="8" t="str">
        <f t="shared" si="2"/>
        <v>GOOD</v>
      </c>
      <c r="H148" s="9">
        <v>2.0</v>
      </c>
      <c r="I148" s="9">
        <v>115.0</v>
      </c>
      <c r="J148" s="9" t="str">
        <f t="array" ref="J148">IFS(I148&gt;299,"High HP",I148&gt;99,"Medium HP",I148&lt;100,"Low HP")</f>
        <v>Medium HP</v>
      </c>
      <c r="K148" s="9" t="s">
        <v>21</v>
      </c>
      <c r="L148" s="9">
        <v>26.0</v>
      </c>
      <c r="M148" s="9">
        <v>48.90737225</v>
      </c>
      <c r="N148" s="9">
        <v>97.4</v>
      </c>
      <c r="O148" s="9">
        <v>66.7</v>
      </c>
      <c r="P148" s="9">
        <v>160.4</v>
      </c>
      <c r="Q148" s="9">
        <v>3.079</v>
      </c>
      <c r="R148" s="9">
        <v>13.7</v>
      </c>
      <c r="S148" s="10">
        <v>40694.0</v>
      </c>
    </row>
    <row r="149" ht="15.75" customHeight="1">
      <c r="A149" s="4" t="s">
        <v>191</v>
      </c>
      <c r="B149" s="5" t="s">
        <v>196</v>
      </c>
      <c r="C149" s="6">
        <v>5596.0</v>
      </c>
      <c r="D149" s="7">
        <v>17500.0</v>
      </c>
      <c r="E149" s="7">
        <v>13760.0</v>
      </c>
      <c r="F149" s="8">
        <f t="shared" si="1"/>
        <v>0.7862857143</v>
      </c>
      <c r="G149" s="8" t="str">
        <f t="shared" si="2"/>
        <v>GOOD</v>
      </c>
      <c r="H149" s="9">
        <v>2.0</v>
      </c>
      <c r="I149" s="9">
        <v>115.0</v>
      </c>
      <c r="J149" s="9" t="str">
        <f t="array" ref="J149">IFS(I149&gt;299,"High HP",I149&gt;99,"Medium HP",I149&lt;100,"Low HP")</f>
        <v>Medium HP</v>
      </c>
      <c r="K149" s="9" t="s">
        <v>21</v>
      </c>
      <c r="L149" s="9">
        <v>26.0</v>
      </c>
      <c r="M149" s="9">
        <v>47.94684106</v>
      </c>
      <c r="N149" s="9">
        <v>98.9</v>
      </c>
      <c r="O149" s="9">
        <v>68.3</v>
      </c>
      <c r="P149" s="9">
        <v>163.3</v>
      </c>
      <c r="Q149" s="9">
        <v>2.762</v>
      </c>
      <c r="R149" s="9">
        <v>14.6</v>
      </c>
      <c r="S149" s="10">
        <v>40634.0</v>
      </c>
    </row>
    <row r="150" ht="15.75" customHeight="1">
      <c r="A150" s="4" t="s">
        <v>191</v>
      </c>
      <c r="B150" s="5" t="s">
        <v>197</v>
      </c>
      <c r="C150" s="6">
        <v>49463.0</v>
      </c>
      <c r="D150" s="7">
        <v>15900.0</v>
      </c>
      <c r="E150" s="7">
        <v>11986.0</v>
      </c>
      <c r="F150" s="8">
        <f t="shared" si="1"/>
        <v>0.753836478</v>
      </c>
      <c r="G150" s="8" t="str">
        <f t="shared" si="2"/>
        <v>GOOD</v>
      </c>
      <c r="H150" s="9">
        <v>2.0</v>
      </c>
      <c r="I150" s="9">
        <v>115.0</v>
      </c>
      <c r="J150" s="9" t="str">
        <f t="array" ref="J150">IFS(I150&gt;299,"High HP",I150&gt;99,"Medium HP",I150&lt;100,"Low HP")</f>
        <v>Medium HP</v>
      </c>
      <c r="K150" s="9" t="s">
        <v>21</v>
      </c>
      <c r="L150" s="9">
        <v>26.0</v>
      </c>
      <c r="M150" s="9">
        <v>47.32963226</v>
      </c>
      <c r="N150" s="9">
        <v>98.9</v>
      </c>
      <c r="O150" s="9">
        <v>67.9</v>
      </c>
      <c r="P150" s="9">
        <v>161.1</v>
      </c>
      <c r="Q150" s="9">
        <v>2.769</v>
      </c>
      <c r="R150" s="9">
        <v>14.5</v>
      </c>
      <c r="S150" s="10">
        <v>40836.0</v>
      </c>
    </row>
    <row r="151" ht="15.75" customHeight="1">
      <c r="A151" s="4" t="s">
        <v>198</v>
      </c>
      <c r="B151" s="5" t="s">
        <v>199</v>
      </c>
      <c r="C151" s="6">
        <v>16957.0</v>
      </c>
      <c r="D151" s="7">
        <v>23400.0</v>
      </c>
      <c r="E151" s="7">
        <v>14334.0</v>
      </c>
      <c r="F151" s="8">
        <f t="shared" si="1"/>
        <v>0.6125641026</v>
      </c>
      <c r="G151" s="8" t="str">
        <f t="shared" si="2"/>
        <v>POOR</v>
      </c>
      <c r="H151" s="9">
        <v>1.9</v>
      </c>
      <c r="I151" s="9">
        <v>160.0</v>
      </c>
      <c r="J151" s="9" t="str">
        <f t="array" ref="J151">IFS(I151&gt;299,"High HP",I151&gt;99,"Medium HP",I151&lt;100,"Low HP")</f>
        <v>Medium HP</v>
      </c>
      <c r="K151" s="9" t="s">
        <v>21</v>
      </c>
      <c r="L151" s="9">
        <v>25.0</v>
      </c>
      <c r="M151" s="9">
        <v>66.1130568</v>
      </c>
      <c r="N151" s="9">
        <v>100.5</v>
      </c>
      <c r="O151" s="9">
        <v>67.6</v>
      </c>
      <c r="P151" s="9">
        <v>176.6</v>
      </c>
      <c r="Q151" s="9">
        <v>2.998</v>
      </c>
      <c r="R151" s="9">
        <v>15.8</v>
      </c>
      <c r="S151" s="10">
        <v>40592.0</v>
      </c>
    </row>
    <row r="152" ht="15.75" customHeight="1">
      <c r="A152" s="4" t="s">
        <v>198</v>
      </c>
      <c r="B152" s="5" t="s">
        <v>200</v>
      </c>
      <c r="C152" s="6">
        <v>3545.0</v>
      </c>
      <c r="D152" s="7">
        <v>24400.0</v>
      </c>
      <c r="E152" s="7">
        <v>15252.0</v>
      </c>
      <c r="F152" s="8">
        <f t="shared" si="1"/>
        <v>0.6250819672</v>
      </c>
      <c r="G152" s="8" t="str">
        <f t="shared" si="2"/>
        <v>POOR</v>
      </c>
      <c r="H152" s="9">
        <v>1.9</v>
      </c>
      <c r="I152" s="9">
        <v>160.0</v>
      </c>
      <c r="J152" s="9" t="str">
        <f t="array" ref="J152">IFS(I152&gt;299,"High HP",I152&gt;99,"Medium HP",I152&lt;100,"Low HP")</f>
        <v>Medium HP</v>
      </c>
      <c r="K152" s="9" t="s">
        <v>21</v>
      </c>
      <c r="L152" s="9">
        <v>25.0</v>
      </c>
      <c r="M152" s="9">
        <v>66.4988123</v>
      </c>
      <c r="N152" s="9">
        <v>100.5</v>
      </c>
      <c r="O152" s="9">
        <v>67.6</v>
      </c>
      <c r="P152" s="9">
        <v>176.6</v>
      </c>
      <c r="Q152" s="9">
        <v>3.042</v>
      </c>
      <c r="R152" s="9">
        <v>15.8</v>
      </c>
      <c r="S152" s="10">
        <v>40807.0</v>
      </c>
    </row>
    <row r="153" ht="15.75" customHeight="1">
      <c r="A153" s="4" t="s">
        <v>198</v>
      </c>
      <c r="B153" s="5" t="s">
        <v>201</v>
      </c>
      <c r="C153" s="6">
        <v>15245.0</v>
      </c>
      <c r="D153" s="7">
        <v>27500.0</v>
      </c>
      <c r="E153" s="7">
        <v>18900.0</v>
      </c>
      <c r="F153" s="8">
        <f t="shared" si="1"/>
        <v>0.6872727273</v>
      </c>
      <c r="G153" s="8" t="str">
        <f t="shared" si="2"/>
        <v>POOR</v>
      </c>
      <c r="H153" s="9">
        <v>2.4</v>
      </c>
      <c r="I153" s="9">
        <v>168.0</v>
      </c>
      <c r="J153" s="9" t="str">
        <f t="array" ref="J153">IFS(I153&gt;299,"High HP",I153&gt;99,"Medium HP",I153&lt;100,"Low HP")</f>
        <v>Medium HP</v>
      </c>
      <c r="K153" s="9" t="s">
        <v>21</v>
      </c>
      <c r="L153" s="9">
        <v>25.0</v>
      </c>
      <c r="M153" s="9">
        <v>70.65449545</v>
      </c>
      <c r="N153" s="9">
        <v>104.9</v>
      </c>
      <c r="O153" s="9">
        <v>69.3</v>
      </c>
      <c r="P153" s="9">
        <v>185.9</v>
      </c>
      <c r="Q153" s="9">
        <v>3.208</v>
      </c>
      <c r="R153" s="9">
        <v>17.9</v>
      </c>
      <c r="S153" s="10">
        <v>41237.0</v>
      </c>
    </row>
    <row r="154" ht="15.75" customHeight="1">
      <c r="A154" s="4" t="s">
        <v>198</v>
      </c>
      <c r="B154" s="5" t="s">
        <v>202</v>
      </c>
      <c r="C154" s="6">
        <v>17531.0</v>
      </c>
      <c r="D154" s="7">
        <v>28800.0</v>
      </c>
      <c r="E154" s="7">
        <v>20223.0</v>
      </c>
      <c r="F154" s="8">
        <f t="shared" si="1"/>
        <v>0.7021875</v>
      </c>
      <c r="G154" s="8" t="str">
        <f t="shared" si="2"/>
        <v>GOOD</v>
      </c>
      <c r="H154" s="9">
        <v>2.4</v>
      </c>
      <c r="I154" s="9">
        <v>168.0</v>
      </c>
      <c r="J154" s="9" t="str">
        <f t="array" ref="J154">IFS(I154&gt;299,"High HP",I154&gt;99,"Medium HP",I154&lt;100,"Low HP")</f>
        <v>Medium HP</v>
      </c>
      <c r="K154" s="9" t="s">
        <v>21</v>
      </c>
      <c r="L154" s="9">
        <v>25.0</v>
      </c>
      <c r="M154" s="9">
        <v>71.1559776</v>
      </c>
      <c r="N154" s="9">
        <v>104.9</v>
      </c>
      <c r="O154" s="9">
        <v>69.3</v>
      </c>
      <c r="P154" s="9">
        <v>186.2</v>
      </c>
      <c r="Q154" s="9">
        <v>3.259</v>
      </c>
      <c r="R154" s="9">
        <v>17.9</v>
      </c>
      <c r="S154" s="10">
        <v>40719.0</v>
      </c>
    </row>
    <row r="155" ht="15.75" customHeight="1">
      <c r="A155" s="4" t="s">
        <v>198</v>
      </c>
      <c r="B155" s="5" t="s">
        <v>203</v>
      </c>
      <c r="C155" s="6">
        <v>3493.0</v>
      </c>
      <c r="D155" s="7">
        <v>45500.0</v>
      </c>
      <c r="E155" s="7">
        <v>34175.0</v>
      </c>
      <c r="F155" s="8">
        <f t="shared" si="1"/>
        <v>0.7510989011</v>
      </c>
      <c r="G155" s="8" t="str">
        <f t="shared" si="2"/>
        <v>GOOD</v>
      </c>
      <c r="H155" s="9">
        <v>2.3</v>
      </c>
      <c r="I155" s="9">
        <v>236.0</v>
      </c>
      <c r="J155" s="9" t="str">
        <f t="array" ref="J155">IFS(I155&gt;299,"High HP",I155&gt;99,"Medium HP",I155&lt;100,"Low HP")</f>
        <v>Medium HP</v>
      </c>
      <c r="K155" s="9" t="s">
        <v>21</v>
      </c>
      <c r="L155" s="9">
        <v>23.0</v>
      </c>
      <c r="M155" s="9">
        <v>101.6233572</v>
      </c>
      <c r="N155" s="9">
        <v>104.9</v>
      </c>
      <c r="O155" s="9">
        <v>71.5</v>
      </c>
      <c r="P155" s="9">
        <v>185.7</v>
      </c>
      <c r="Q155" s="9">
        <v>3.601</v>
      </c>
      <c r="R155" s="9">
        <v>18.5</v>
      </c>
      <c r="S155" s="10">
        <v>40659.0</v>
      </c>
    </row>
    <row r="156" ht="15.75" customHeight="1">
      <c r="A156" s="4" t="s">
        <v>198</v>
      </c>
      <c r="B156" s="5" t="s">
        <v>204</v>
      </c>
      <c r="C156" s="6">
        <v>18969.0</v>
      </c>
      <c r="D156" s="7">
        <v>36000.0</v>
      </c>
      <c r="E156" s="7">
        <v>26403.0</v>
      </c>
      <c r="F156" s="8">
        <f t="shared" si="1"/>
        <v>0.7334166667</v>
      </c>
      <c r="G156" s="8" t="str">
        <f t="shared" si="2"/>
        <v>GOOD</v>
      </c>
      <c r="H156" s="9">
        <v>2.9</v>
      </c>
      <c r="I156" s="9">
        <v>201.0</v>
      </c>
      <c r="J156" s="9" t="str">
        <f t="array" ref="J156">IFS(I156&gt;299,"High HP",I156&gt;99,"Medium HP",I156&lt;100,"Low HP")</f>
        <v>Medium HP</v>
      </c>
      <c r="K156" s="9" t="s">
        <v>21</v>
      </c>
      <c r="L156" s="9">
        <v>24.0</v>
      </c>
      <c r="M156" s="9">
        <v>85.73565451</v>
      </c>
      <c r="N156" s="9">
        <v>109.9</v>
      </c>
      <c r="O156" s="9">
        <v>72.1</v>
      </c>
      <c r="P156" s="9">
        <v>189.8</v>
      </c>
      <c r="Q156" s="9">
        <v>3.6</v>
      </c>
      <c r="R156" s="9">
        <v>21.1</v>
      </c>
      <c r="S156" s="10">
        <v>40861.0</v>
      </c>
    </row>
    <row r="157" ht="15.75" customHeight="1">
      <c r="D157" s="15"/>
    </row>
    <row r="158" ht="15.75" customHeight="1">
      <c r="D158" s="15"/>
    </row>
    <row r="159" ht="15.75" customHeight="1">
      <c r="D159" s="15"/>
    </row>
    <row r="160" ht="15.75" customHeight="1">
      <c r="D160" s="15"/>
    </row>
    <row r="161" ht="15.75" customHeight="1">
      <c r="D161" s="15"/>
    </row>
    <row r="162" ht="15.75" customHeight="1">
      <c r="D162" s="15"/>
    </row>
    <row r="163" ht="15.75" customHeight="1">
      <c r="D163" s="15"/>
    </row>
    <row r="164" ht="15.75" customHeight="1">
      <c r="D164" s="15"/>
    </row>
    <row r="165" ht="15.75" customHeight="1">
      <c r="D165" s="15"/>
    </row>
    <row r="166" ht="15.75" customHeight="1">
      <c r="D166" s="15"/>
    </row>
    <row r="167" ht="15.75" customHeight="1">
      <c r="D167" s="15"/>
    </row>
    <row r="168" ht="15.75" customHeight="1">
      <c r="D168" s="15"/>
    </row>
    <row r="169" ht="15.75" customHeight="1">
      <c r="D169" s="15"/>
    </row>
    <row r="170" ht="15.75" customHeight="1">
      <c r="D170" s="15"/>
    </row>
    <row r="171" ht="15.75" customHeight="1">
      <c r="D171" s="15"/>
    </row>
    <row r="172" ht="15.75" customHeight="1">
      <c r="D172" s="15"/>
    </row>
    <row r="173" ht="15.75" customHeight="1">
      <c r="D173" s="15"/>
    </row>
    <row r="174" ht="15.75" customHeight="1">
      <c r="D174" s="15"/>
    </row>
    <row r="175" ht="15.75" customHeight="1">
      <c r="D175" s="15"/>
    </row>
    <row r="176" ht="15.75" customHeight="1">
      <c r="D176" s="15"/>
    </row>
    <row r="177" ht="15.75" customHeight="1">
      <c r="D177" s="15"/>
    </row>
    <row r="178" ht="15.75" customHeight="1">
      <c r="D178" s="15"/>
    </row>
    <row r="179" ht="15.75" customHeight="1">
      <c r="D179" s="15"/>
    </row>
    <row r="180" ht="15.75" customHeight="1">
      <c r="D180" s="15"/>
    </row>
    <row r="181" ht="15.75" customHeight="1">
      <c r="D181" s="15"/>
    </row>
    <row r="182" ht="15.75" customHeight="1">
      <c r="D182" s="15"/>
    </row>
    <row r="183" ht="15.75" customHeight="1">
      <c r="D183" s="15"/>
    </row>
    <row r="184" ht="15.75" customHeight="1">
      <c r="D184" s="15"/>
    </row>
    <row r="185" ht="15.75" customHeight="1">
      <c r="D185" s="15"/>
    </row>
    <row r="186" ht="15.75" customHeight="1">
      <c r="D186" s="15"/>
    </row>
    <row r="187" ht="15.75" customHeight="1">
      <c r="D187" s="15"/>
    </row>
    <row r="188" ht="15.75" customHeight="1">
      <c r="D188" s="15"/>
    </row>
    <row r="189" ht="15.75" customHeight="1">
      <c r="D189" s="15"/>
    </row>
    <row r="190" ht="15.75" customHeight="1">
      <c r="D190" s="15"/>
    </row>
    <row r="191" ht="15.75" customHeight="1">
      <c r="D191" s="15"/>
    </row>
    <row r="192" ht="15.75" customHeight="1">
      <c r="D192" s="15"/>
    </row>
    <row r="193" ht="15.75" customHeight="1">
      <c r="D193" s="15"/>
    </row>
    <row r="194" ht="15.75" customHeight="1">
      <c r="D194" s="15"/>
    </row>
    <row r="195" ht="15.75" customHeight="1">
      <c r="D195" s="15"/>
    </row>
    <row r="196" ht="15.75" customHeight="1">
      <c r="D196" s="15"/>
    </row>
    <row r="197" ht="15.75" customHeight="1">
      <c r="D197" s="15"/>
    </row>
    <row r="198" ht="15.75" customHeight="1">
      <c r="D198" s="15"/>
    </row>
    <row r="199" ht="15.75" customHeight="1">
      <c r="D199" s="15"/>
    </row>
    <row r="200" ht="15.75" customHeight="1">
      <c r="D200" s="15"/>
    </row>
    <row r="201" ht="15.75" customHeight="1">
      <c r="D201" s="15"/>
    </row>
    <row r="202" ht="15.75" customHeight="1">
      <c r="D202" s="15"/>
    </row>
    <row r="203" ht="15.75" customHeight="1">
      <c r="D203" s="15"/>
    </row>
    <row r="204" ht="15.75" customHeight="1">
      <c r="D204" s="15"/>
    </row>
    <row r="205" ht="15.75" customHeight="1">
      <c r="D205" s="15"/>
    </row>
    <row r="206" ht="15.75" customHeight="1">
      <c r="D206" s="15"/>
    </row>
    <row r="207" ht="15.75" customHeight="1">
      <c r="D207" s="15"/>
    </row>
    <row r="208" ht="15.75" customHeight="1">
      <c r="D208" s="15"/>
    </row>
    <row r="209" ht="15.75" customHeight="1">
      <c r="D209" s="15"/>
    </row>
    <row r="210" ht="15.75" customHeight="1">
      <c r="D210" s="15"/>
    </row>
    <row r="211" ht="15.75" customHeight="1">
      <c r="D211" s="15"/>
    </row>
    <row r="212" ht="15.75" customHeight="1">
      <c r="D212" s="15"/>
    </row>
    <row r="213" ht="15.75" customHeight="1">
      <c r="D213" s="15"/>
    </row>
    <row r="214" ht="15.75" customHeight="1">
      <c r="D214" s="15"/>
    </row>
    <row r="215" ht="15.75" customHeight="1">
      <c r="D215" s="15"/>
    </row>
    <row r="216" ht="15.75" customHeight="1">
      <c r="D216" s="15"/>
    </row>
    <row r="217" ht="15.75" customHeight="1">
      <c r="D217" s="15"/>
    </row>
    <row r="218" ht="15.75" customHeight="1">
      <c r="D218" s="15"/>
    </row>
    <row r="219" ht="15.75" customHeight="1">
      <c r="D219" s="15"/>
    </row>
    <row r="220" ht="15.75" customHeight="1">
      <c r="D220" s="15"/>
    </row>
    <row r="221" ht="15.75" customHeight="1">
      <c r="D221" s="15"/>
    </row>
    <row r="222" ht="15.75" customHeight="1">
      <c r="D222" s="15"/>
    </row>
    <row r="223" ht="15.75" customHeight="1">
      <c r="D223" s="15"/>
    </row>
    <row r="224" ht="15.75" customHeight="1">
      <c r="D224" s="15"/>
    </row>
    <row r="225" ht="15.75" customHeight="1">
      <c r="D225" s="15"/>
    </row>
    <row r="226" ht="15.75" customHeight="1">
      <c r="D226" s="15"/>
    </row>
    <row r="227" ht="15.75" customHeight="1">
      <c r="D227" s="15"/>
    </row>
    <row r="228" ht="15.75" customHeight="1">
      <c r="D228" s="15"/>
    </row>
    <row r="229" ht="15.75" customHeight="1">
      <c r="D229" s="15"/>
    </row>
    <row r="230" ht="15.75" customHeight="1">
      <c r="D230" s="15"/>
    </row>
    <row r="231" ht="15.75" customHeight="1">
      <c r="D231" s="15"/>
    </row>
    <row r="232" ht="15.75" customHeight="1">
      <c r="D232" s="15"/>
    </row>
    <row r="233" ht="15.75" customHeight="1">
      <c r="D233" s="15"/>
    </row>
    <row r="234" ht="15.75" customHeight="1">
      <c r="D234" s="15"/>
    </row>
    <row r="235" ht="15.75" customHeight="1">
      <c r="D235" s="15"/>
    </row>
    <row r="236" ht="15.75" customHeight="1">
      <c r="D236" s="15"/>
    </row>
    <row r="237" ht="15.75" customHeight="1">
      <c r="D237" s="15"/>
    </row>
    <row r="238" ht="15.75" customHeight="1">
      <c r="D238" s="15"/>
    </row>
    <row r="239" ht="15.75" customHeight="1">
      <c r="D239" s="15"/>
    </row>
    <row r="240" ht="15.75" customHeight="1">
      <c r="D240" s="15"/>
    </row>
    <row r="241" ht="15.75" customHeight="1">
      <c r="D241" s="15"/>
    </row>
    <row r="242" ht="15.75" customHeight="1">
      <c r="D242" s="15"/>
    </row>
    <row r="243" ht="15.75" customHeight="1">
      <c r="D243" s="15"/>
    </row>
    <row r="244" ht="15.75" customHeight="1">
      <c r="D244" s="15"/>
    </row>
    <row r="245" ht="15.75" customHeight="1">
      <c r="D245" s="15"/>
    </row>
    <row r="246" ht="15.75" customHeight="1">
      <c r="D246" s="15"/>
    </row>
    <row r="247" ht="15.75" customHeight="1">
      <c r="D247" s="15"/>
    </row>
    <row r="248" ht="15.75" customHeight="1">
      <c r="D248" s="15"/>
    </row>
    <row r="249" ht="15.75" customHeight="1">
      <c r="D249" s="15"/>
    </row>
    <row r="250" ht="15.75" customHeight="1">
      <c r="D250" s="15"/>
    </row>
    <row r="251" ht="15.75" customHeight="1">
      <c r="D251" s="15"/>
    </row>
    <row r="252" ht="15.75" customHeight="1">
      <c r="D252" s="15"/>
    </row>
    <row r="253" ht="15.75" customHeight="1">
      <c r="D253" s="15"/>
    </row>
    <row r="254" ht="15.75" customHeight="1">
      <c r="D254" s="15"/>
    </row>
    <row r="255" ht="15.75" customHeight="1">
      <c r="D255" s="15"/>
    </row>
    <row r="256" ht="15.75" customHeight="1">
      <c r="D256" s="15"/>
    </row>
    <row r="257" ht="15.75" customHeight="1">
      <c r="D257" s="15"/>
    </row>
    <row r="258" ht="15.75" customHeight="1">
      <c r="D258" s="15"/>
    </row>
    <row r="259" ht="15.75" customHeight="1">
      <c r="D259" s="15"/>
    </row>
    <row r="260" ht="15.75" customHeight="1">
      <c r="D260" s="15"/>
    </row>
    <row r="261" ht="15.75" customHeight="1">
      <c r="D261" s="15"/>
    </row>
    <row r="262" ht="15.75" customHeight="1">
      <c r="D262" s="15"/>
    </row>
    <row r="263" ht="15.75" customHeight="1">
      <c r="D263" s="15"/>
    </row>
    <row r="264" ht="15.75" customHeight="1">
      <c r="D264" s="15"/>
    </row>
    <row r="265" ht="15.75" customHeight="1">
      <c r="D265" s="15"/>
    </row>
    <row r="266" ht="15.75" customHeight="1">
      <c r="D266" s="15"/>
    </row>
    <row r="267" ht="15.75" customHeight="1">
      <c r="D267" s="15"/>
    </row>
    <row r="268" ht="15.75" customHeight="1">
      <c r="D268" s="15"/>
    </row>
    <row r="269" ht="15.75" customHeight="1">
      <c r="D269" s="15"/>
    </row>
    <row r="270" ht="15.75" customHeight="1">
      <c r="D270" s="15"/>
    </row>
    <row r="271" ht="15.75" customHeight="1">
      <c r="D271" s="15"/>
    </row>
    <row r="272" ht="15.75" customHeight="1">
      <c r="D272" s="15"/>
    </row>
    <row r="273" ht="15.75" customHeight="1">
      <c r="D273" s="15"/>
    </row>
    <row r="274" ht="15.75" customHeight="1">
      <c r="D274" s="15"/>
    </row>
    <row r="275" ht="15.75" customHeight="1">
      <c r="D275" s="15"/>
    </row>
    <row r="276" ht="15.75" customHeight="1">
      <c r="D276" s="15"/>
    </row>
    <row r="277" ht="15.75" customHeight="1">
      <c r="D277" s="15"/>
    </row>
    <row r="278" ht="15.75" customHeight="1">
      <c r="D278" s="15"/>
    </row>
    <row r="279" ht="15.75" customHeight="1">
      <c r="D279" s="15"/>
    </row>
    <row r="280" ht="15.75" customHeight="1">
      <c r="D280" s="15"/>
    </row>
    <row r="281" ht="15.75" customHeight="1">
      <c r="D281" s="15"/>
    </row>
    <row r="282" ht="15.75" customHeight="1">
      <c r="D282" s="15"/>
    </row>
    <row r="283" ht="15.75" customHeight="1">
      <c r="D283" s="15"/>
    </row>
    <row r="284" ht="15.75" customHeight="1">
      <c r="D284" s="15"/>
    </row>
    <row r="285" ht="15.75" customHeight="1">
      <c r="D285" s="15"/>
    </row>
    <row r="286" ht="15.75" customHeight="1">
      <c r="D286" s="15"/>
    </row>
    <row r="287" ht="15.75" customHeight="1">
      <c r="D287" s="15"/>
    </row>
    <row r="288" ht="15.75" customHeight="1">
      <c r="D288" s="15"/>
    </row>
    <row r="289" ht="15.75" customHeight="1">
      <c r="D289" s="15"/>
    </row>
    <row r="290" ht="15.75" customHeight="1">
      <c r="D290" s="15"/>
    </row>
    <row r="291" ht="15.75" customHeight="1">
      <c r="D291" s="15"/>
    </row>
    <row r="292" ht="15.75" customHeight="1">
      <c r="D292" s="15"/>
    </row>
    <row r="293" ht="15.75" customHeight="1">
      <c r="D293" s="15"/>
    </row>
    <row r="294" ht="15.75" customHeight="1">
      <c r="D294" s="15"/>
    </row>
    <row r="295" ht="15.75" customHeight="1">
      <c r="D295" s="15"/>
    </row>
    <row r="296" ht="15.75" customHeight="1">
      <c r="D296" s="15"/>
    </row>
    <row r="297" ht="15.75" customHeight="1">
      <c r="D297" s="15"/>
    </row>
    <row r="298" ht="15.75" customHeight="1">
      <c r="D298" s="15"/>
    </row>
    <row r="299" ht="15.75" customHeight="1">
      <c r="D299" s="15"/>
    </row>
    <row r="300" ht="15.75" customHeight="1">
      <c r="D300" s="15"/>
    </row>
    <row r="301" ht="15.75" customHeight="1">
      <c r="D301" s="15"/>
    </row>
    <row r="302" ht="15.75" customHeight="1">
      <c r="D302" s="15"/>
    </row>
    <row r="303" ht="15.75" customHeight="1">
      <c r="D303" s="15"/>
    </row>
    <row r="304" ht="15.75" customHeight="1">
      <c r="D304" s="15"/>
    </row>
    <row r="305" ht="15.75" customHeight="1">
      <c r="D305" s="15"/>
    </row>
    <row r="306" ht="15.75" customHeight="1">
      <c r="D306" s="15"/>
    </row>
    <row r="307" ht="15.75" customHeight="1">
      <c r="D307" s="15"/>
    </row>
    <row r="308" ht="15.75" customHeight="1">
      <c r="D308" s="15"/>
    </row>
    <row r="309" ht="15.75" customHeight="1">
      <c r="D309" s="15"/>
    </row>
    <row r="310" ht="15.75" customHeight="1">
      <c r="D310" s="15"/>
    </row>
    <row r="311" ht="15.75" customHeight="1">
      <c r="D311" s="15"/>
    </row>
    <row r="312" ht="15.75" customHeight="1">
      <c r="D312" s="15"/>
    </row>
    <row r="313" ht="15.75" customHeight="1">
      <c r="D313" s="15"/>
    </row>
    <row r="314" ht="15.75" customHeight="1">
      <c r="D314" s="15"/>
    </row>
    <row r="315" ht="15.75" customHeight="1">
      <c r="D315" s="15"/>
    </row>
    <row r="316" ht="15.75" customHeight="1">
      <c r="D316" s="15"/>
    </row>
    <row r="317" ht="15.75" customHeight="1">
      <c r="D317" s="15"/>
    </row>
    <row r="318" ht="15.75" customHeight="1">
      <c r="D318" s="15"/>
    </row>
    <row r="319" ht="15.75" customHeight="1">
      <c r="D319" s="15"/>
    </row>
    <row r="320" ht="15.75" customHeight="1">
      <c r="D320" s="15"/>
    </row>
    <row r="321" ht="15.75" customHeight="1">
      <c r="D321" s="15"/>
    </row>
    <row r="322" ht="15.75" customHeight="1">
      <c r="D322" s="15"/>
    </row>
    <row r="323" ht="15.75" customHeight="1">
      <c r="D323" s="15"/>
    </row>
    <row r="324" ht="15.75" customHeight="1">
      <c r="D324" s="15"/>
    </row>
    <row r="325" ht="15.75" customHeight="1">
      <c r="D325" s="15"/>
    </row>
    <row r="326" ht="15.75" customHeight="1">
      <c r="D326" s="15"/>
    </row>
    <row r="327" ht="15.75" customHeight="1">
      <c r="D327" s="15"/>
    </row>
    <row r="328" ht="15.75" customHeight="1">
      <c r="D328" s="15"/>
    </row>
    <row r="329" ht="15.75" customHeight="1">
      <c r="D329" s="15"/>
    </row>
    <row r="330" ht="15.75" customHeight="1">
      <c r="D330" s="15"/>
    </row>
    <row r="331" ht="15.75" customHeight="1">
      <c r="D331" s="15"/>
    </row>
    <row r="332" ht="15.75" customHeight="1">
      <c r="D332" s="15"/>
    </row>
    <row r="333" ht="15.75" customHeight="1">
      <c r="D333" s="15"/>
    </row>
    <row r="334" ht="15.75" customHeight="1">
      <c r="D334" s="15"/>
    </row>
    <row r="335" ht="15.75" customHeight="1">
      <c r="D335" s="15"/>
    </row>
    <row r="336" ht="15.75" customHeight="1">
      <c r="D336" s="15"/>
    </row>
    <row r="337" ht="15.75" customHeight="1">
      <c r="D337" s="15"/>
    </row>
    <row r="338" ht="15.75" customHeight="1">
      <c r="D338" s="15"/>
    </row>
    <row r="339" ht="15.75" customHeight="1">
      <c r="D339" s="15"/>
    </row>
    <row r="340" ht="15.75" customHeight="1">
      <c r="D340" s="15"/>
    </row>
    <row r="341" ht="15.75" customHeight="1">
      <c r="D341" s="15"/>
    </row>
    <row r="342" ht="15.75" customHeight="1">
      <c r="D342" s="15"/>
    </row>
    <row r="343" ht="15.75" customHeight="1">
      <c r="D343" s="15"/>
    </row>
    <row r="344" ht="15.75" customHeight="1">
      <c r="D344" s="15"/>
    </row>
    <row r="345" ht="15.75" customHeight="1">
      <c r="D345" s="15"/>
    </row>
    <row r="346" ht="15.75" customHeight="1">
      <c r="D346" s="15"/>
    </row>
    <row r="347" ht="15.75" customHeight="1">
      <c r="D347" s="15"/>
    </row>
    <row r="348" ht="15.75" customHeight="1">
      <c r="D348" s="15"/>
    </row>
    <row r="349" ht="15.75" customHeight="1">
      <c r="D349" s="15"/>
    </row>
    <row r="350" ht="15.75" customHeight="1">
      <c r="D350" s="15"/>
    </row>
    <row r="351" ht="15.75" customHeight="1">
      <c r="D351" s="15"/>
    </row>
    <row r="352" ht="15.75" customHeight="1">
      <c r="D352" s="15"/>
    </row>
    <row r="353" ht="15.75" customHeight="1">
      <c r="D353" s="15"/>
    </row>
    <row r="354" ht="15.75" customHeight="1">
      <c r="D354" s="15"/>
    </row>
    <row r="355" ht="15.75" customHeight="1">
      <c r="D355" s="15"/>
    </row>
    <row r="356" ht="15.75" customHeight="1">
      <c r="D356" s="15"/>
    </row>
    <row r="357" ht="15.75" customHeight="1">
      <c r="D357" s="15"/>
    </row>
    <row r="358" ht="15.75" customHeight="1">
      <c r="D358" s="15"/>
    </row>
    <row r="359" ht="15.75" customHeight="1">
      <c r="D359" s="15"/>
    </row>
    <row r="360" ht="15.75" customHeight="1">
      <c r="D360" s="15"/>
    </row>
    <row r="361" ht="15.75" customHeight="1">
      <c r="D361" s="15"/>
    </row>
    <row r="362" ht="15.75" customHeight="1">
      <c r="D362" s="15"/>
    </row>
    <row r="363" ht="15.75" customHeight="1">
      <c r="D363" s="15"/>
    </row>
    <row r="364" ht="15.75" customHeight="1">
      <c r="D364" s="15"/>
    </row>
    <row r="365" ht="15.75" customHeight="1">
      <c r="D365" s="15"/>
    </row>
    <row r="366" ht="15.75" customHeight="1">
      <c r="D366" s="15"/>
    </row>
    <row r="367" ht="15.75" customHeight="1">
      <c r="D367" s="15"/>
    </row>
    <row r="368" ht="15.75" customHeight="1">
      <c r="D368" s="15"/>
    </row>
    <row r="369" ht="15.75" customHeight="1">
      <c r="D369" s="15"/>
    </row>
    <row r="370" ht="15.75" customHeight="1">
      <c r="D370" s="15"/>
    </row>
    <row r="371" ht="15.75" customHeight="1">
      <c r="D371" s="15"/>
    </row>
    <row r="372" ht="15.75" customHeight="1">
      <c r="D372" s="15"/>
    </row>
    <row r="373" ht="15.75" customHeight="1">
      <c r="D373" s="15"/>
    </row>
    <row r="374" ht="15.75" customHeight="1">
      <c r="D374" s="15"/>
    </row>
    <row r="375" ht="15.75" customHeight="1">
      <c r="D375" s="15"/>
    </row>
    <row r="376" ht="15.75" customHeight="1">
      <c r="D376" s="15"/>
    </row>
    <row r="377" ht="15.75" customHeight="1">
      <c r="D377" s="15"/>
    </row>
    <row r="378" ht="15.75" customHeight="1">
      <c r="D378" s="15"/>
    </row>
    <row r="379" ht="15.75" customHeight="1">
      <c r="D379" s="15"/>
    </row>
    <row r="380" ht="15.75" customHeight="1">
      <c r="D380" s="15"/>
    </row>
    <row r="381" ht="15.75" customHeight="1">
      <c r="D381" s="15"/>
    </row>
    <row r="382" ht="15.75" customHeight="1">
      <c r="D382" s="15"/>
    </row>
    <row r="383" ht="15.75" customHeight="1">
      <c r="D383" s="15"/>
    </row>
    <row r="384" ht="15.75" customHeight="1">
      <c r="D384" s="15"/>
    </row>
    <row r="385" ht="15.75" customHeight="1">
      <c r="D385" s="15"/>
    </row>
    <row r="386" ht="15.75" customHeight="1">
      <c r="D386" s="15"/>
    </row>
    <row r="387" ht="15.75" customHeight="1">
      <c r="D387" s="15"/>
    </row>
    <row r="388" ht="15.75" customHeight="1">
      <c r="D388" s="15"/>
    </row>
    <row r="389" ht="15.75" customHeight="1">
      <c r="D389" s="15"/>
    </row>
    <row r="390" ht="15.75" customHeight="1">
      <c r="D390" s="15"/>
    </row>
    <row r="391" ht="15.75" customHeight="1">
      <c r="D391" s="15"/>
    </row>
    <row r="392" ht="15.75" customHeight="1">
      <c r="D392" s="15"/>
    </row>
    <row r="393" ht="15.75" customHeight="1">
      <c r="D393" s="15"/>
    </row>
    <row r="394" ht="15.75" customHeight="1">
      <c r="D394" s="15"/>
    </row>
    <row r="395" ht="15.75" customHeight="1">
      <c r="D395" s="15"/>
    </row>
    <row r="396" ht="15.75" customHeight="1">
      <c r="D396" s="15"/>
    </row>
    <row r="397" ht="15.75" customHeight="1">
      <c r="D397" s="15"/>
    </row>
    <row r="398" ht="15.75" customHeight="1">
      <c r="D398" s="15"/>
    </row>
    <row r="399" ht="15.75" customHeight="1">
      <c r="D399" s="15"/>
    </row>
    <row r="400" ht="15.75" customHeight="1">
      <c r="D400" s="15"/>
    </row>
    <row r="401" ht="15.75" customHeight="1">
      <c r="D401" s="15"/>
    </row>
    <row r="402" ht="15.75" customHeight="1">
      <c r="D402" s="15"/>
    </row>
    <row r="403" ht="15.75" customHeight="1">
      <c r="D403" s="15"/>
    </row>
    <row r="404" ht="15.75" customHeight="1">
      <c r="D404" s="15"/>
    </row>
    <row r="405" ht="15.75" customHeight="1">
      <c r="D405" s="15"/>
    </row>
    <row r="406" ht="15.75" customHeight="1">
      <c r="D406" s="15"/>
    </row>
    <row r="407" ht="15.75" customHeight="1">
      <c r="D407" s="15"/>
    </row>
    <row r="408" ht="15.75" customHeight="1">
      <c r="D408" s="15"/>
    </row>
    <row r="409" ht="15.75" customHeight="1">
      <c r="D409" s="15"/>
    </row>
    <row r="410" ht="15.75" customHeight="1">
      <c r="D410" s="15"/>
    </row>
    <row r="411" ht="15.75" customHeight="1">
      <c r="D411" s="15"/>
    </row>
    <row r="412" ht="15.75" customHeight="1">
      <c r="D412" s="15"/>
    </row>
    <row r="413" ht="15.75" customHeight="1">
      <c r="D413" s="15"/>
    </row>
    <row r="414" ht="15.75" customHeight="1">
      <c r="D414" s="15"/>
    </row>
    <row r="415" ht="15.75" customHeight="1">
      <c r="D415" s="15"/>
    </row>
    <row r="416" ht="15.75" customHeight="1">
      <c r="D416" s="15"/>
    </row>
    <row r="417" ht="15.75" customHeight="1">
      <c r="D417" s="15"/>
    </row>
    <row r="418" ht="15.75" customHeight="1">
      <c r="D418" s="15"/>
    </row>
    <row r="419" ht="15.75" customHeight="1">
      <c r="D419" s="15"/>
    </row>
    <row r="420" ht="15.75" customHeight="1">
      <c r="D420" s="15"/>
    </row>
    <row r="421" ht="15.75" customHeight="1">
      <c r="D421" s="15"/>
    </row>
    <row r="422" ht="15.75" customHeight="1">
      <c r="D422" s="15"/>
    </row>
    <row r="423" ht="15.75" customHeight="1">
      <c r="D423" s="15"/>
    </row>
    <row r="424" ht="15.75" customHeight="1">
      <c r="D424" s="15"/>
    </row>
    <row r="425" ht="15.75" customHeight="1">
      <c r="D425" s="15"/>
    </row>
    <row r="426" ht="15.75" customHeight="1">
      <c r="D426" s="15"/>
    </row>
    <row r="427" ht="15.75" customHeight="1">
      <c r="D427" s="15"/>
    </row>
    <row r="428" ht="15.75" customHeight="1">
      <c r="D428" s="15"/>
    </row>
    <row r="429" ht="15.75" customHeight="1">
      <c r="D429" s="15"/>
    </row>
    <row r="430" ht="15.75" customHeight="1">
      <c r="D430" s="15"/>
    </row>
    <row r="431" ht="15.75" customHeight="1">
      <c r="D431" s="15"/>
    </row>
    <row r="432" ht="15.75" customHeight="1">
      <c r="D432" s="15"/>
    </row>
    <row r="433" ht="15.75" customHeight="1">
      <c r="D433" s="15"/>
    </row>
    <row r="434" ht="15.75" customHeight="1">
      <c r="D434" s="15"/>
    </row>
    <row r="435" ht="15.75" customHeight="1">
      <c r="D435" s="15"/>
    </row>
    <row r="436" ht="15.75" customHeight="1">
      <c r="D436" s="15"/>
    </row>
    <row r="437" ht="15.75" customHeight="1">
      <c r="D437" s="15"/>
    </row>
    <row r="438" ht="15.75" customHeight="1">
      <c r="D438" s="15"/>
    </row>
    <row r="439" ht="15.75" customHeight="1">
      <c r="D439" s="15"/>
    </row>
    <row r="440" ht="15.75" customHeight="1">
      <c r="D440" s="15"/>
    </row>
    <row r="441" ht="15.75" customHeight="1">
      <c r="D441" s="15"/>
    </row>
    <row r="442" ht="15.75" customHeight="1">
      <c r="D442" s="15"/>
    </row>
    <row r="443" ht="15.75" customHeight="1">
      <c r="D443" s="15"/>
    </row>
    <row r="444" ht="15.75" customHeight="1">
      <c r="D444" s="15"/>
    </row>
    <row r="445" ht="15.75" customHeight="1">
      <c r="D445" s="15"/>
    </row>
    <row r="446" ht="15.75" customHeight="1">
      <c r="D446" s="15"/>
    </row>
    <row r="447" ht="15.75" customHeight="1">
      <c r="D447" s="15"/>
    </row>
    <row r="448" ht="15.75" customHeight="1">
      <c r="D448" s="15"/>
    </row>
    <row r="449" ht="15.75" customHeight="1">
      <c r="D449" s="15"/>
    </row>
    <row r="450" ht="15.75" customHeight="1">
      <c r="D450" s="15"/>
    </row>
    <row r="451" ht="15.75" customHeight="1">
      <c r="D451" s="15"/>
    </row>
    <row r="452" ht="15.75" customHeight="1">
      <c r="D452" s="15"/>
    </row>
    <row r="453" ht="15.75" customHeight="1">
      <c r="D453" s="15"/>
    </row>
    <row r="454" ht="15.75" customHeight="1">
      <c r="D454" s="15"/>
    </row>
    <row r="455" ht="15.75" customHeight="1">
      <c r="D455" s="15"/>
    </row>
    <row r="456" ht="15.75" customHeight="1">
      <c r="D456" s="15"/>
    </row>
    <row r="457" ht="15.75" customHeight="1">
      <c r="D457" s="15"/>
    </row>
    <row r="458" ht="15.75" customHeight="1">
      <c r="D458" s="15"/>
    </row>
    <row r="459" ht="15.75" customHeight="1">
      <c r="D459" s="15"/>
    </row>
    <row r="460" ht="15.75" customHeight="1">
      <c r="D460" s="15"/>
    </row>
    <row r="461" ht="15.75" customHeight="1">
      <c r="D461" s="15"/>
    </row>
    <row r="462" ht="15.75" customHeight="1">
      <c r="D462" s="15"/>
    </row>
    <row r="463" ht="15.75" customHeight="1">
      <c r="D463" s="15"/>
    </row>
    <row r="464" ht="15.75" customHeight="1">
      <c r="D464" s="15"/>
    </row>
    <row r="465" ht="15.75" customHeight="1">
      <c r="D465" s="15"/>
    </row>
    <row r="466" ht="15.75" customHeight="1">
      <c r="D466" s="15"/>
    </row>
    <row r="467" ht="15.75" customHeight="1">
      <c r="D467" s="15"/>
    </row>
    <row r="468" ht="15.75" customHeight="1">
      <c r="D468" s="15"/>
    </row>
    <row r="469" ht="15.75" customHeight="1">
      <c r="D469" s="15"/>
    </row>
    <row r="470" ht="15.75" customHeight="1">
      <c r="D470" s="15"/>
    </row>
    <row r="471" ht="15.75" customHeight="1">
      <c r="D471" s="15"/>
    </row>
    <row r="472" ht="15.75" customHeight="1">
      <c r="D472" s="15"/>
    </row>
    <row r="473" ht="15.75" customHeight="1">
      <c r="D473" s="15"/>
    </row>
    <row r="474" ht="15.75" customHeight="1">
      <c r="D474" s="15"/>
    </row>
    <row r="475" ht="15.75" customHeight="1">
      <c r="D475" s="15"/>
    </row>
    <row r="476" ht="15.75" customHeight="1">
      <c r="D476" s="15"/>
    </row>
    <row r="477" ht="15.75" customHeight="1">
      <c r="D477" s="15"/>
    </row>
    <row r="478" ht="15.75" customHeight="1">
      <c r="D478" s="15"/>
    </row>
    <row r="479" ht="15.75" customHeight="1">
      <c r="D479" s="15"/>
    </row>
    <row r="480" ht="15.75" customHeight="1">
      <c r="D480" s="15"/>
    </row>
    <row r="481" ht="15.75" customHeight="1">
      <c r="D481" s="15"/>
    </row>
    <row r="482" ht="15.75" customHeight="1">
      <c r="D482" s="15"/>
    </row>
    <row r="483" ht="15.75" customHeight="1">
      <c r="D483" s="15"/>
    </row>
    <row r="484" ht="15.75" customHeight="1">
      <c r="D484" s="15"/>
    </row>
    <row r="485" ht="15.75" customHeight="1">
      <c r="D485" s="15"/>
    </row>
    <row r="486" ht="15.75" customHeight="1">
      <c r="D486" s="15"/>
    </row>
    <row r="487" ht="15.75" customHeight="1">
      <c r="D487" s="15"/>
    </row>
    <row r="488" ht="15.75" customHeight="1">
      <c r="D488" s="15"/>
    </row>
    <row r="489" ht="15.75" customHeight="1">
      <c r="D489" s="15"/>
    </row>
    <row r="490" ht="15.75" customHeight="1">
      <c r="D490" s="15"/>
    </row>
    <row r="491" ht="15.75" customHeight="1">
      <c r="D491" s="15"/>
    </row>
    <row r="492" ht="15.75" customHeight="1">
      <c r="D492" s="15"/>
    </row>
    <row r="493" ht="15.75" customHeight="1">
      <c r="D493" s="15"/>
    </row>
    <row r="494" ht="15.75" customHeight="1">
      <c r="D494" s="15"/>
    </row>
    <row r="495" ht="15.75" customHeight="1">
      <c r="D495" s="15"/>
    </row>
    <row r="496" ht="15.75" customHeight="1">
      <c r="D496" s="15"/>
    </row>
    <row r="497" ht="15.75" customHeight="1">
      <c r="D497" s="15"/>
    </row>
    <row r="498" ht="15.75" customHeight="1">
      <c r="D498" s="15"/>
    </row>
    <row r="499" ht="15.75" customHeight="1">
      <c r="D499" s="15"/>
    </row>
    <row r="500" ht="15.75" customHeight="1">
      <c r="D500" s="15"/>
    </row>
    <row r="501" ht="15.75" customHeight="1">
      <c r="D501" s="15"/>
    </row>
    <row r="502" ht="15.75" customHeight="1">
      <c r="D502" s="15"/>
    </row>
    <row r="503" ht="15.75" customHeight="1">
      <c r="D503" s="15"/>
    </row>
    <row r="504" ht="15.75" customHeight="1">
      <c r="D504" s="15"/>
    </row>
    <row r="505" ht="15.75" customHeight="1">
      <c r="D505" s="15"/>
    </row>
    <row r="506" ht="15.75" customHeight="1">
      <c r="D506" s="15"/>
    </row>
    <row r="507" ht="15.75" customHeight="1">
      <c r="D507" s="15"/>
    </row>
    <row r="508" ht="15.75" customHeight="1">
      <c r="D508" s="15"/>
    </row>
    <row r="509" ht="15.75" customHeight="1">
      <c r="D509" s="15"/>
    </row>
    <row r="510" ht="15.75" customHeight="1">
      <c r="D510" s="15"/>
    </row>
    <row r="511" ht="15.75" customHeight="1">
      <c r="D511" s="15"/>
    </row>
    <row r="512" ht="15.75" customHeight="1">
      <c r="D512" s="15"/>
    </row>
    <row r="513" ht="15.75" customHeight="1">
      <c r="D513" s="15"/>
    </row>
    <row r="514" ht="15.75" customHeight="1">
      <c r="D514" s="15"/>
    </row>
    <row r="515" ht="15.75" customHeight="1">
      <c r="D515" s="15"/>
    </row>
    <row r="516" ht="15.75" customHeight="1">
      <c r="D516" s="15"/>
    </row>
    <row r="517" ht="15.75" customHeight="1">
      <c r="D517" s="15"/>
    </row>
    <row r="518" ht="15.75" customHeight="1">
      <c r="D518" s="15"/>
    </row>
    <row r="519" ht="15.75" customHeight="1">
      <c r="D519" s="15"/>
    </row>
    <row r="520" ht="15.75" customHeight="1">
      <c r="D520" s="15"/>
    </row>
    <row r="521" ht="15.75" customHeight="1">
      <c r="D521" s="15"/>
    </row>
    <row r="522" ht="15.75" customHeight="1">
      <c r="D522" s="15"/>
    </row>
    <row r="523" ht="15.75" customHeight="1">
      <c r="D523" s="15"/>
    </row>
    <row r="524" ht="15.75" customHeight="1">
      <c r="D524" s="15"/>
    </row>
    <row r="525" ht="15.75" customHeight="1">
      <c r="D525" s="15"/>
    </row>
    <row r="526" ht="15.75" customHeight="1">
      <c r="D526" s="15"/>
    </row>
    <row r="527" ht="15.75" customHeight="1">
      <c r="D527" s="15"/>
    </row>
    <row r="528" ht="15.75" customHeight="1">
      <c r="D528" s="15"/>
    </row>
    <row r="529" ht="15.75" customHeight="1">
      <c r="D529" s="15"/>
    </row>
    <row r="530" ht="15.75" customHeight="1">
      <c r="D530" s="15"/>
    </row>
    <row r="531" ht="15.75" customHeight="1">
      <c r="D531" s="15"/>
    </row>
    <row r="532" ht="15.75" customHeight="1">
      <c r="D532" s="15"/>
    </row>
    <row r="533" ht="15.75" customHeight="1">
      <c r="D533" s="15"/>
    </row>
    <row r="534" ht="15.75" customHeight="1">
      <c r="D534" s="15"/>
    </row>
    <row r="535" ht="15.75" customHeight="1">
      <c r="D535" s="15"/>
    </row>
    <row r="536" ht="15.75" customHeight="1">
      <c r="D536" s="15"/>
    </row>
    <row r="537" ht="15.75" customHeight="1">
      <c r="D537" s="15"/>
    </row>
    <row r="538" ht="15.75" customHeight="1">
      <c r="D538" s="15"/>
    </row>
    <row r="539" ht="15.75" customHeight="1">
      <c r="D539" s="15"/>
    </row>
    <row r="540" ht="15.75" customHeight="1">
      <c r="D540" s="15"/>
    </row>
    <row r="541" ht="15.75" customHeight="1">
      <c r="D541" s="15"/>
    </row>
    <row r="542" ht="15.75" customHeight="1">
      <c r="D542" s="15"/>
    </row>
    <row r="543" ht="15.75" customHeight="1">
      <c r="D543" s="15"/>
    </row>
    <row r="544" ht="15.75" customHeight="1">
      <c r="D544" s="15"/>
    </row>
    <row r="545" ht="15.75" customHeight="1">
      <c r="D545" s="15"/>
    </row>
    <row r="546" ht="15.75" customHeight="1">
      <c r="D546" s="15"/>
    </row>
    <row r="547" ht="15.75" customHeight="1">
      <c r="D547" s="15"/>
    </row>
    <row r="548" ht="15.75" customHeight="1">
      <c r="D548" s="15"/>
    </row>
    <row r="549" ht="15.75" customHeight="1">
      <c r="D549" s="15"/>
    </row>
    <row r="550" ht="15.75" customHeight="1">
      <c r="D550" s="15"/>
    </row>
    <row r="551" ht="15.75" customHeight="1">
      <c r="D551" s="15"/>
    </row>
    <row r="552" ht="15.75" customHeight="1">
      <c r="D552" s="15"/>
    </row>
    <row r="553" ht="15.75" customHeight="1">
      <c r="D553" s="15"/>
    </row>
    <row r="554" ht="15.75" customHeight="1">
      <c r="D554" s="15"/>
    </row>
    <row r="555" ht="15.75" customHeight="1">
      <c r="D555" s="15"/>
    </row>
    <row r="556" ht="15.75" customHeight="1">
      <c r="D556" s="15"/>
    </row>
    <row r="557" ht="15.75" customHeight="1">
      <c r="D557" s="15"/>
    </row>
    <row r="558" ht="15.75" customHeight="1">
      <c r="D558" s="15"/>
    </row>
    <row r="559" ht="15.75" customHeight="1">
      <c r="D559" s="15"/>
    </row>
    <row r="560" ht="15.75" customHeight="1">
      <c r="D560" s="15"/>
    </row>
    <row r="561" ht="15.75" customHeight="1">
      <c r="D561" s="15"/>
    </row>
    <row r="562" ht="15.75" customHeight="1">
      <c r="D562" s="15"/>
    </row>
    <row r="563" ht="15.75" customHeight="1">
      <c r="D563" s="15"/>
    </row>
    <row r="564" ht="15.75" customHeight="1">
      <c r="D564" s="15"/>
    </row>
    <row r="565" ht="15.75" customHeight="1">
      <c r="D565" s="15"/>
    </row>
    <row r="566" ht="15.75" customHeight="1">
      <c r="D566" s="15"/>
    </row>
    <row r="567" ht="15.75" customHeight="1">
      <c r="D567" s="15"/>
    </row>
    <row r="568" ht="15.75" customHeight="1">
      <c r="D568" s="15"/>
    </row>
    <row r="569" ht="15.75" customHeight="1">
      <c r="D569" s="15"/>
    </row>
    <row r="570" ht="15.75" customHeight="1">
      <c r="D570" s="15"/>
    </row>
    <row r="571" ht="15.75" customHeight="1">
      <c r="D571" s="15"/>
    </row>
    <row r="572" ht="15.75" customHeight="1">
      <c r="D572" s="15"/>
    </row>
    <row r="573" ht="15.75" customHeight="1">
      <c r="D573" s="15"/>
    </row>
    <row r="574" ht="15.75" customHeight="1">
      <c r="D574" s="15"/>
    </row>
    <row r="575" ht="15.75" customHeight="1">
      <c r="D575" s="15"/>
    </row>
    <row r="576" ht="15.75" customHeight="1">
      <c r="D576" s="15"/>
    </row>
    <row r="577" ht="15.75" customHeight="1">
      <c r="D577" s="15"/>
    </row>
    <row r="578" ht="15.75" customHeight="1">
      <c r="D578" s="15"/>
    </row>
    <row r="579" ht="15.75" customHeight="1">
      <c r="D579" s="15"/>
    </row>
    <row r="580" ht="15.75" customHeight="1">
      <c r="D580" s="15"/>
    </row>
    <row r="581" ht="15.75" customHeight="1">
      <c r="D581" s="15"/>
    </row>
    <row r="582" ht="15.75" customHeight="1">
      <c r="D582" s="15"/>
    </row>
    <row r="583" ht="15.75" customHeight="1">
      <c r="D583" s="15"/>
    </row>
    <row r="584" ht="15.75" customHeight="1">
      <c r="D584" s="15"/>
    </row>
    <row r="585" ht="15.75" customHeight="1">
      <c r="D585" s="15"/>
    </row>
    <row r="586" ht="15.75" customHeight="1">
      <c r="D586" s="15"/>
    </row>
    <row r="587" ht="15.75" customHeight="1">
      <c r="D587" s="15"/>
    </row>
    <row r="588" ht="15.75" customHeight="1">
      <c r="D588" s="15"/>
    </row>
    <row r="589" ht="15.75" customHeight="1">
      <c r="D589" s="15"/>
    </row>
    <row r="590" ht="15.75" customHeight="1">
      <c r="D590" s="15"/>
    </row>
    <row r="591" ht="15.75" customHeight="1">
      <c r="D591" s="15"/>
    </row>
    <row r="592" ht="15.75" customHeight="1">
      <c r="D592" s="15"/>
    </row>
    <row r="593" ht="15.75" customHeight="1">
      <c r="D593" s="15"/>
    </row>
    <row r="594" ht="15.75" customHeight="1">
      <c r="D594" s="15"/>
    </row>
    <row r="595" ht="15.75" customHeight="1">
      <c r="D595" s="15"/>
    </row>
    <row r="596" ht="15.75" customHeight="1">
      <c r="D596" s="15"/>
    </row>
    <row r="597" ht="15.75" customHeight="1">
      <c r="D597" s="15"/>
    </row>
    <row r="598" ht="15.75" customHeight="1">
      <c r="D598" s="15"/>
    </row>
    <row r="599" ht="15.75" customHeight="1">
      <c r="D599" s="15"/>
    </row>
    <row r="600" ht="15.75" customHeight="1">
      <c r="D600" s="15"/>
    </row>
    <row r="601" ht="15.75" customHeight="1">
      <c r="D601" s="15"/>
    </row>
    <row r="602" ht="15.75" customHeight="1">
      <c r="D602" s="15"/>
    </row>
    <row r="603" ht="15.75" customHeight="1">
      <c r="D603" s="15"/>
    </row>
    <row r="604" ht="15.75" customHeight="1">
      <c r="D604" s="15"/>
    </row>
    <row r="605" ht="15.75" customHeight="1">
      <c r="D605" s="15"/>
    </row>
    <row r="606" ht="15.75" customHeight="1">
      <c r="D606" s="15"/>
    </row>
    <row r="607" ht="15.75" customHeight="1">
      <c r="D607" s="15"/>
    </row>
    <row r="608" ht="15.75" customHeight="1">
      <c r="D608" s="15"/>
    </row>
    <row r="609" ht="15.75" customHeight="1">
      <c r="D609" s="15"/>
    </row>
    <row r="610" ht="15.75" customHeight="1">
      <c r="D610" s="15"/>
    </row>
    <row r="611" ht="15.75" customHeight="1">
      <c r="D611" s="15"/>
    </row>
    <row r="612" ht="15.75" customHeight="1">
      <c r="D612" s="15"/>
    </row>
    <row r="613" ht="15.75" customHeight="1">
      <c r="D613" s="15"/>
    </row>
    <row r="614" ht="15.75" customHeight="1">
      <c r="D614" s="15"/>
    </row>
    <row r="615" ht="15.75" customHeight="1">
      <c r="D615" s="15"/>
    </row>
    <row r="616" ht="15.75" customHeight="1">
      <c r="D616" s="15"/>
    </row>
    <row r="617" ht="15.75" customHeight="1">
      <c r="D617" s="15"/>
    </row>
    <row r="618" ht="15.75" customHeight="1">
      <c r="D618" s="15"/>
    </row>
    <row r="619" ht="15.75" customHeight="1">
      <c r="D619" s="15"/>
    </row>
    <row r="620" ht="15.75" customHeight="1">
      <c r="D620" s="15"/>
    </row>
    <row r="621" ht="15.75" customHeight="1">
      <c r="D621" s="15"/>
    </row>
    <row r="622" ht="15.75" customHeight="1">
      <c r="D622" s="15"/>
    </row>
    <row r="623" ht="15.75" customHeight="1">
      <c r="D623" s="15"/>
    </row>
    <row r="624" ht="15.75" customHeight="1">
      <c r="D624" s="15"/>
    </row>
    <row r="625" ht="15.75" customHeight="1">
      <c r="D625" s="15"/>
    </row>
    <row r="626" ht="15.75" customHeight="1">
      <c r="D626" s="15"/>
    </row>
    <row r="627" ht="15.75" customHeight="1">
      <c r="D627" s="15"/>
    </row>
    <row r="628" ht="15.75" customHeight="1">
      <c r="D628" s="15"/>
    </row>
    <row r="629" ht="15.75" customHeight="1">
      <c r="D629" s="15"/>
    </row>
    <row r="630" ht="15.75" customHeight="1">
      <c r="D630" s="15"/>
    </row>
    <row r="631" ht="15.75" customHeight="1">
      <c r="D631" s="15"/>
    </row>
    <row r="632" ht="15.75" customHeight="1">
      <c r="D632" s="15"/>
    </row>
    <row r="633" ht="15.75" customHeight="1">
      <c r="D633" s="15"/>
    </row>
    <row r="634" ht="15.75" customHeight="1">
      <c r="D634" s="15"/>
    </row>
    <row r="635" ht="15.75" customHeight="1">
      <c r="D635" s="15"/>
    </row>
    <row r="636" ht="15.75" customHeight="1">
      <c r="D636" s="15"/>
    </row>
    <row r="637" ht="15.75" customHeight="1">
      <c r="D637" s="15"/>
    </row>
    <row r="638" ht="15.75" customHeight="1">
      <c r="D638" s="15"/>
    </row>
    <row r="639" ht="15.75" customHeight="1">
      <c r="D639" s="15"/>
    </row>
    <row r="640" ht="15.75" customHeight="1">
      <c r="D640" s="15"/>
    </row>
    <row r="641" ht="15.75" customHeight="1">
      <c r="D641" s="15"/>
    </row>
    <row r="642" ht="15.75" customHeight="1">
      <c r="D642" s="15"/>
    </row>
    <row r="643" ht="15.75" customHeight="1">
      <c r="D643" s="15"/>
    </row>
    <row r="644" ht="15.75" customHeight="1">
      <c r="D644" s="15"/>
    </row>
    <row r="645" ht="15.75" customHeight="1">
      <c r="D645" s="15"/>
    </row>
    <row r="646" ht="15.75" customHeight="1">
      <c r="D646" s="15"/>
    </row>
    <row r="647" ht="15.75" customHeight="1">
      <c r="D647" s="15"/>
    </row>
    <row r="648" ht="15.75" customHeight="1">
      <c r="D648" s="15"/>
    </row>
    <row r="649" ht="15.75" customHeight="1">
      <c r="D649" s="15"/>
    </row>
    <row r="650" ht="15.75" customHeight="1">
      <c r="D650" s="15"/>
    </row>
    <row r="651" ht="15.75" customHeight="1">
      <c r="D651" s="15"/>
    </row>
    <row r="652" ht="15.75" customHeight="1">
      <c r="D652" s="15"/>
    </row>
    <row r="653" ht="15.75" customHeight="1">
      <c r="D653" s="15"/>
    </row>
    <row r="654" ht="15.75" customHeight="1">
      <c r="D654" s="15"/>
    </row>
    <row r="655" ht="15.75" customHeight="1">
      <c r="D655" s="15"/>
    </row>
    <row r="656" ht="15.75" customHeight="1">
      <c r="D656" s="15"/>
    </row>
    <row r="657" ht="15.75" customHeight="1">
      <c r="D657" s="15"/>
    </row>
    <row r="658" ht="15.75" customHeight="1">
      <c r="D658" s="15"/>
    </row>
    <row r="659" ht="15.75" customHeight="1">
      <c r="D659" s="15"/>
    </row>
    <row r="660" ht="15.75" customHeight="1">
      <c r="D660" s="15"/>
    </row>
    <row r="661" ht="15.75" customHeight="1">
      <c r="D661" s="15"/>
    </row>
    <row r="662" ht="15.75" customHeight="1">
      <c r="D662" s="15"/>
    </row>
    <row r="663" ht="15.75" customHeight="1">
      <c r="D663" s="15"/>
    </row>
    <row r="664" ht="15.75" customHeight="1">
      <c r="D664" s="15"/>
    </row>
    <row r="665" ht="15.75" customHeight="1">
      <c r="D665" s="15"/>
    </row>
    <row r="666" ht="15.75" customHeight="1">
      <c r="D666" s="15"/>
    </row>
    <row r="667" ht="15.75" customHeight="1">
      <c r="D667" s="15"/>
    </row>
    <row r="668" ht="15.75" customHeight="1">
      <c r="D668" s="15"/>
    </row>
    <row r="669" ht="15.75" customHeight="1">
      <c r="D669" s="15"/>
    </row>
    <row r="670" ht="15.75" customHeight="1">
      <c r="D670" s="15"/>
    </row>
    <row r="671" ht="15.75" customHeight="1">
      <c r="D671" s="15"/>
    </row>
    <row r="672" ht="15.75" customHeight="1">
      <c r="D672" s="15"/>
    </row>
    <row r="673" ht="15.75" customHeight="1">
      <c r="D673" s="15"/>
    </row>
    <row r="674" ht="15.75" customHeight="1">
      <c r="D674" s="15"/>
    </row>
    <row r="675" ht="15.75" customHeight="1">
      <c r="D675" s="15"/>
    </row>
    <row r="676" ht="15.75" customHeight="1">
      <c r="D676" s="15"/>
    </row>
    <row r="677" ht="15.75" customHeight="1">
      <c r="D677" s="15"/>
    </row>
    <row r="678" ht="15.75" customHeight="1">
      <c r="D678" s="15"/>
    </row>
    <row r="679" ht="15.75" customHeight="1">
      <c r="D679" s="15"/>
    </row>
    <row r="680" ht="15.75" customHeight="1">
      <c r="D680" s="15"/>
    </row>
    <row r="681" ht="15.75" customHeight="1">
      <c r="D681" s="15"/>
    </row>
    <row r="682" ht="15.75" customHeight="1">
      <c r="D682" s="15"/>
    </row>
    <row r="683" ht="15.75" customHeight="1">
      <c r="D683" s="15"/>
    </row>
    <row r="684" ht="15.75" customHeight="1">
      <c r="D684" s="15"/>
    </row>
    <row r="685" ht="15.75" customHeight="1">
      <c r="D685" s="15"/>
    </row>
    <row r="686" ht="15.75" customHeight="1">
      <c r="D686" s="15"/>
    </row>
    <row r="687" ht="15.75" customHeight="1">
      <c r="D687" s="15"/>
    </row>
    <row r="688" ht="15.75" customHeight="1">
      <c r="D688" s="15"/>
    </row>
    <row r="689" ht="15.75" customHeight="1">
      <c r="D689" s="15"/>
    </row>
    <row r="690" ht="15.75" customHeight="1">
      <c r="D690" s="15"/>
    </row>
    <row r="691" ht="15.75" customHeight="1">
      <c r="D691" s="15"/>
    </row>
    <row r="692" ht="15.75" customHeight="1">
      <c r="D692" s="15"/>
    </row>
    <row r="693" ht="15.75" customHeight="1">
      <c r="D693" s="15"/>
    </row>
    <row r="694" ht="15.75" customHeight="1">
      <c r="D694" s="15"/>
    </row>
    <row r="695" ht="15.75" customHeight="1">
      <c r="D695" s="15"/>
    </row>
    <row r="696" ht="15.75" customHeight="1">
      <c r="D696" s="15"/>
    </row>
    <row r="697" ht="15.75" customHeight="1">
      <c r="D697" s="15"/>
    </row>
    <row r="698" ht="15.75" customHeight="1">
      <c r="D698" s="15"/>
    </row>
    <row r="699" ht="15.75" customHeight="1">
      <c r="D699" s="15"/>
    </row>
    <row r="700" ht="15.75" customHeight="1">
      <c r="D700" s="15"/>
    </row>
    <row r="701" ht="15.75" customHeight="1">
      <c r="D701" s="15"/>
    </row>
    <row r="702" ht="15.75" customHeight="1">
      <c r="D702" s="15"/>
    </row>
    <row r="703" ht="15.75" customHeight="1">
      <c r="D703" s="15"/>
    </row>
    <row r="704" ht="15.75" customHeight="1">
      <c r="D704" s="15"/>
    </row>
    <row r="705" ht="15.75" customHeight="1">
      <c r="D705" s="15"/>
    </row>
    <row r="706" ht="15.75" customHeight="1">
      <c r="D706" s="15"/>
    </row>
    <row r="707" ht="15.75" customHeight="1">
      <c r="D707" s="15"/>
    </row>
    <row r="708" ht="15.75" customHeight="1">
      <c r="D708" s="15"/>
    </row>
    <row r="709" ht="15.75" customHeight="1">
      <c r="D709" s="15"/>
    </row>
    <row r="710" ht="15.75" customHeight="1">
      <c r="D710" s="15"/>
    </row>
    <row r="711" ht="15.75" customHeight="1">
      <c r="D711" s="15"/>
    </row>
    <row r="712" ht="15.75" customHeight="1">
      <c r="D712" s="15"/>
    </row>
    <row r="713" ht="15.75" customHeight="1">
      <c r="D713" s="15"/>
    </row>
    <row r="714" ht="15.75" customHeight="1">
      <c r="D714" s="15"/>
    </row>
    <row r="715" ht="15.75" customHeight="1">
      <c r="D715" s="15"/>
    </row>
    <row r="716" ht="15.75" customHeight="1">
      <c r="D716" s="15"/>
    </row>
    <row r="717" ht="15.75" customHeight="1">
      <c r="D717" s="15"/>
    </row>
    <row r="718" ht="15.75" customHeight="1">
      <c r="D718" s="15"/>
    </row>
    <row r="719" ht="15.75" customHeight="1">
      <c r="D719" s="15"/>
    </row>
    <row r="720" ht="15.75" customHeight="1">
      <c r="D720" s="15"/>
    </row>
    <row r="721" ht="15.75" customHeight="1">
      <c r="D721" s="15"/>
    </row>
    <row r="722" ht="15.75" customHeight="1">
      <c r="D722" s="15"/>
    </row>
    <row r="723" ht="15.75" customHeight="1">
      <c r="D723" s="15"/>
    </row>
    <row r="724" ht="15.75" customHeight="1">
      <c r="D724" s="15"/>
    </row>
    <row r="725" ht="15.75" customHeight="1">
      <c r="D725" s="15"/>
    </row>
    <row r="726" ht="15.75" customHeight="1">
      <c r="D726" s="15"/>
    </row>
    <row r="727" ht="15.75" customHeight="1">
      <c r="D727" s="15"/>
    </row>
    <row r="728" ht="15.75" customHeight="1">
      <c r="D728" s="15"/>
    </row>
    <row r="729" ht="15.75" customHeight="1">
      <c r="D729" s="15"/>
    </row>
    <row r="730" ht="15.75" customHeight="1">
      <c r="D730" s="15"/>
    </row>
    <row r="731" ht="15.75" customHeight="1">
      <c r="D731" s="15"/>
    </row>
    <row r="732" ht="15.75" customHeight="1">
      <c r="D732" s="15"/>
    </row>
    <row r="733" ht="15.75" customHeight="1">
      <c r="D733" s="15"/>
    </row>
    <row r="734" ht="15.75" customHeight="1">
      <c r="D734" s="15"/>
    </row>
    <row r="735" ht="15.75" customHeight="1">
      <c r="D735" s="15"/>
    </row>
    <row r="736" ht="15.75" customHeight="1">
      <c r="D736" s="15"/>
    </row>
    <row r="737" ht="15.75" customHeight="1">
      <c r="D737" s="15"/>
    </row>
    <row r="738" ht="15.75" customHeight="1">
      <c r="D738" s="15"/>
    </row>
    <row r="739" ht="15.75" customHeight="1">
      <c r="D739" s="15"/>
    </row>
    <row r="740" ht="15.75" customHeight="1">
      <c r="D740" s="15"/>
    </row>
    <row r="741" ht="15.75" customHeight="1">
      <c r="D741" s="15"/>
    </row>
    <row r="742" ht="15.75" customHeight="1">
      <c r="D742" s="15"/>
    </row>
    <row r="743" ht="15.75" customHeight="1">
      <c r="D743" s="15"/>
    </row>
    <row r="744" ht="15.75" customHeight="1">
      <c r="D744" s="15"/>
    </row>
    <row r="745" ht="15.75" customHeight="1">
      <c r="D745" s="15"/>
    </row>
    <row r="746" ht="15.75" customHeight="1">
      <c r="D746" s="15"/>
    </row>
    <row r="747" ht="15.75" customHeight="1">
      <c r="D747" s="15"/>
    </row>
    <row r="748" ht="15.75" customHeight="1">
      <c r="D748" s="15"/>
    </row>
    <row r="749" ht="15.75" customHeight="1">
      <c r="D749" s="15"/>
    </row>
    <row r="750" ht="15.75" customHeight="1">
      <c r="D750" s="15"/>
    </row>
    <row r="751" ht="15.75" customHeight="1">
      <c r="D751" s="15"/>
    </row>
    <row r="752" ht="15.75" customHeight="1">
      <c r="D752" s="15"/>
    </row>
    <row r="753" ht="15.75" customHeight="1">
      <c r="D753" s="15"/>
    </row>
    <row r="754" ht="15.75" customHeight="1">
      <c r="D754" s="15"/>
    </row>
    <row r="755" ht="15.75" customHeight="1">
      <c r="D755" s="15"/>
    </row>
    <row r="756" ht="15.75" customHeight="1">
      <c r="D756" s="15"/>
    </row>
    <row r="757" ht="15.75" customHeight="1">
      <c r="D757" s="15"/>
    </row>
    <row r="758" ht="15.75" customHeight="1">
      <c r="D758" s="15"/>
    </row>
    <row r="759" ht="15.75" customHeight="1">
      <c r="D759" s="15"/>
    </row>
    <row r="760" ht="15.75" customHeight="1">
      <c r="D760" s="15"/>
    </row>
    <row r="761" ht="15.75" customHeight="1">
      <c r="D761" s="15"/>
    </row>
    <row r="762" ht="15.75" customHeight="1">
      <c r="D762" s="15"/>
    </row>
    <row r="763" ht="15.75" customHeight="1">
      <c r="D763" s="15"/>
    </row>
    <row r="764" ht="15.75" customHeight="1">
      <c r="D764" s="15"/>
    </row>
    <row r="765" ht="15.75" customHeight="1">
      <c r="D765" s="15"/>
    </row>
    <row r="766" ht="15.75" customHeight="1">
      <c r="D766" s="15"/>
    </row>
    <row r="767" ht="15.75" customHeight="1">
      <c r="D767" s="15"/>
    </row>
    <row r="768" ht="15.75" customHeight="1">
      <c r="D768" s="15"/>
    </row>
    <row r="769" ht="15.75" customHeight="1">
      <c r="D769" s="15"/>
    </row>
    <row r="770" ht="15.75" customHeight="1">
      <c r="D770" s="15"/>
    </row>
    <row r="771" ht="15.75" customHeight="1">
      <c r="D771" s="15"/>
    </row>
    <row r="772" ht="15.75" customHeight="1">
      <c r="D772" s="15"/>
    </row>
    <row r="773" ht="15.75" customHeight="1">
      <c r="D773" s="15"/>
    </row>
    <row r="774" ht="15.75" customHeight="1">
      <c r="D774" s="15"/>
    </row>
    <row r="775" ht="15.75" customHeight="1">
      <c r="D775" s="15"/>
    </row>
    <row r="776" ht="15.75" customHeight="1">
      <c r="D776" s="15"/>
    </row>
    <row r="777" ht="15.75" customHeight="1">
      <c r="D777" s="15"/>
    </row>
    <row r="778" ht="15.75" customHeight="1">
      <c r="D778" s="15"/>
    </row>
    <row r="779" ht="15.75" customHeight="1">
      <c r="D779" s="15"/>
    </row>
    <row r="780" ht="15.75" customHeight="1">
      <c r="D780" s="15"/>
    </row>
    <row r="781" ht="15.75" customHeight="1">
      <c r="D781" s="15"/>
    </row>
    <row r="782" ht="15.75" customHeight="1">
      <c r="D782" s="15"/>
    </row>
    <row r="783" ht="15.75" customHeight="1">
      <c r="D783" s="15"/>
    </row>
    <row r="784" ht="15.75" customHeight="1">
      <c r="D784" s="15"/>
    </row>
    <row r="785" ht="15.75" customHeight="1">
      <c r="D785" s="15"/>
    </row>
    <row r="786" ht="15.75" customHeight="1">
      <c r="D786" s="15"/>
    </row>
    <row r="787" ht="15.75" customHeight="1">
      <c r="D787" s="15"/>
    </row>
    <row r="788" ht="15.75" customHeight="1">
      <c r="D788" s="15"/>
    </row>
    <row r="789" ht="15.75" customHeight="1">
      <c r="D789" s="15"/>
    </row>
    <row r="790" ht="15.75" customHeight="1">
      <c r="D790" s="15"/>
    </row>
    <row r="791" ht="15.75" customHeight="1">
      <c r="D791" s="15"/>
    </row>
    <row r="792" ht="15.75" customHeight="1">
      <c r="D792" s="15"/>
    </row>
    <row r="793" ht="15.75" customHeight="1">
      <c r="D793" s="15"/>
    </row>
    <row r="794" ht="15.75" customHeight="1">
      <c r="D794" s="15"/>
    </row>
    <row r="795" ht="15.75" customHeight="1">
      <c r="D795" s="15"/>
    </row>
    <row r="796" ht="15.75" customHeight="1">
      <c r="D796" s="15"/>
    </row>
    <row r="797" ht="15.75" customHeight="1">
      <c r="D797" s="15"/>
    </row>
    <row r="798" ht="15.75" customHeight="1">
      <c r="D798" s="15"/>
    </row>
    <row r="799" ht="15.75" customHeight="1">
      <c r="D799" s="15"/>
    </row>
    <row r="800" ht="15.75" customHeight="1">
      <c r="D800" s="15"/>
    </row>
    <row r="801" ht="15.75" customHeight="1">
      <c r="D801" s="15"/>
    </row>
    <row r="802" ht="15.75" customHeight="1">
      <c r="D802" s="15"/>
    </row>
    <row r="803" ht="15.75" customHeight="1">
      <c r="D803" s="15"/>
    </row>
    <row r="804" ht="15.75" customHeight="1">
      <c r="D804" s="15"/>
    </row>
    <row r="805" ht="15.75" customHeight="1">
      <c r="D805" s="15"/>
    </row>
    <row r="806" ht="15.75" customHeight="1">
      <c r="D806" s="15"/>
    </row>
    <row r="807" ht="15.75" customHeight="1">
      <c r="D807" s="15"/>
    </row>
    <row r="808" ht="15.75" customHeight="1">
      <c r="D808" s="15"/>
    </row>
    <row r="809" ht="15.75" customHeight="1">
      <c r="D809" s="15"/>
    </row>
    <row r="810" ht="15.75" customHeight="1">
      <c r="D810" s="15"/>
    </row>
    <row r="811" ht="15.75" customHeight="1">
      <c r="D811" s="15"/>
    </row>
    <row r="812" ht="15.75" customHeight="1">
      <c r="D812" s="15"/>
    </row>
    <row r="813" ht="15.75" customHeight="1">
      <c r="D813" s="15"/>
    </row>
    <row r="814" ht="15.75" customHeight="1">
      <c r="D814" s="15"/>
    </row>
    <row r="815" ht="15.75" customHeight="1">
      <c r="D815" s="15"/>
    </row>
    <row r="816" ht="15.75" customHeight="1">
      <c r="D816" s="15"/>
    </row>
    <row r="817" ht="15.75" customHeight="1">
      <c r="D817" s="15"/>
    </row>
    <row r="818" ht="15.75" customHeight="1">
      <c r="D818" s="15"/>
    </row>
    <row r="819" ht="15.75" customHeight="1">
      <c r="D819" s="15"/>
    </row>
    <row r="820" ht="15.75" customHeight="1">
      <c r="D820" s="15"/>
    </row>
    <row r="821" ht="15.75" customHeight="1">
      <c r="D821" s="15"/>
    </row>
    <row r="822" ht="15.75" customHeight="1">
      <c r="D822" s="15"/>
    </row>
    <row r="823" ht="15.75" customHeight="1">
      <c r="D823" s="15"/>
    </row>
    <row r="824" ht="15.75" customHeight="1">
      <c r="D824" s="15"/>
    </row>
    <row r="825" ht="15.75" customHeight="1">
      <c r="D825" s="15"/>
    </row>
    <row r="826" ht="15.75" customHeight="1">
      <c r="D826" s="15"/>
    </row>
    <row r="827" ht="15.75" customHeight="1">
      <c r="D827" s="15"/>
    </row>
    <row r="828" ht="15.75" customHeight="1">
      <c r="D828" s="15"/>
    </row>
    <row r="829" ht="15.75" customHeight="1">
      <c r="D829" s="15"/>
    </row>
    <row r="830" ht="15.75" customHeight="1">
      <c r="D830" s="15"/>
    </row>
    <row r="831" ht="15.75" customHeight="1">
      <c r="D831" s="15"/>
    </row>
    <row r="832" ht="15.75" customHeight="1">
      <c r="D832" s="15"/>
    </row>
    <row r="833" ht="15.75" customHeight="1">
      <c r="D833" s="15"/>
    </row>
    <row r="834" ht="15.75" customHeight="1">
      <c r="D834" s="15"/>
    </row>
    <row r="835" ht="15.75" customHeight="1">
      <c r="D835" s="15"/>
    </row>
    <row r="836" ht="15.75" customHeight="1">
      <c r="D836" s="15"/>
    </row>
    <row r="837" ht="15.75" customHeight="1">
      <c r="D837" s="15"/>
    </row>
    <row r="838" ht="15.75" customHeight="1">
      <c r="D838" s="15"/>
    </row>
    <row r="839" ht="15.75" customHeight="1">
      <c r="D839" s="15"/>
    </row>
    <row r="840" ht="15.75" customHeight="1">
      <c r="D840" s="15"/>
    </row>
    <row r="841" ht="15.75" customHeight="1">
      <c r="D841" s="15"/>
    </row>
    <row r="842" ht="15.75" customHeight="1">
      <c r="D842" s="15"/>
    </row>
    <row r="843" ht="15.75" customHeight="1">
      <c r="D843" s="15"/>
    </row>
    <row r="844" ht="15.75" customHeight="1">
      <c r="D844" s="15"/>
    </row>
    <row r="845" ht="15.75" customHeight="1">
      <c r="D845" s="15"/>
    </row>
    <row r="846" ht="15.75" customHeight="1">
      <c r="D846" s="15"/>
    </row>
    <row r="847" ht="15.75" customHeight="1">
      <c r="D847" s="15"/>
    </row>
    <row r="848" ht="15.75" customHeight="1">
      <c r="D848" s="15"/>
    </row>
    <row r="849" ht="15.75" customHeight="1">
      <c r="D849" s="15"/>
    </row>
    <row r="850" ht="15.75" customHeight="1">
      <c r="D850" s="15"/>
    </row>
    <row r="851" ht="15.75" customHeight="1">
      <c r="D851" s="15"/>
    </row>
    <row r="852" ht="15.75" customHeight="1">
      <c r="D852" s="15"/>
    </row>
    <row r="853" ht="15.75" customHeight="1">
      <c r="D853" s="15"/>
    </row>
    <row r="854" ht="15.75" customHeight="1">
      <c r="D854" s="15"/>
    </row>
    <row r="855" ht="15.75" customHeight="1">
      <c r="D855" s="15"/>
    </row>
    <row r="856" ht="15.75" customHeight="1">
      <c r="D856" s="15"/>
    </row>
    <row r="857" ht="15.75" customHeight="1">
      <c r="D857" s="15"/>
    </row>
    <row r="858" ht="15.75" customHeight="1">
      <c r="D858" s="15"/>
    </row>
    <row r="859" ht="15.75" customHeight="1">
      <c r="D859" s="15"/>
    </row>
    <row r="860" ht="15.75" customHeight="1">
      <c r="D860" s="15"/>
    </row>
    <row r="861" ht="15.75" customHeight="1">
      <c r="D861" s="15"/>
    </row>
    <row r="862" ht="15.75" customHeight="1">
      <c r="D862" s="15"/>
    </row>
    <row r="863" ht="15.75" customHeight="1">
      <c r="D863" s="15"/>
    </row>
    <row r="864" ht="15.75" customHeight="1">
      <c r="D864" s="15"/>
    </row>
    <row r="865" ht="15.75" customHeight="1">
      <c r="D865" s="15"/>
    </row>
    <row r="866" ht="15.75" customHeight="1">
      <c r="D866" s="15"/>
    </row>
    <row r="867" ht="15.75" customHeight="1">
      <c r="D867" s="15"/>
    </row>
    <row r="868" ht="15.75" customHeight="1">
      <c r="D868" s="15"/>
    </row>
    <row r="869" ht="15.75" customHeight="1">
      <c r="D869" s="15"/>
    </row>
    <row r="870" ht="15.75" customHeight="1">
      <c r="D870" s="15"/>
    </row>
    <row r="871" ht="15.75" customHeight="1">
      <c r="D871" s="15"/>
    </row>
    <row r="872" ht="15.75" customHeight="1">
      <c r="D872" s="15"/>
    </row>
    <row r="873" ht="15.75" customHeight="1">
      <c r="D873" s="15"/>
    </row>
    <row r="874" ht="15.75" customHeight="1">
      <c r="D874" s="15"/>
    </row>
    <row r="875" ht="15.75" customHeight="1">
      <c r="D875" s="15"/>
    </row>
    <row r="876" ht="15.75" customHeight="1">
      <c r="D876" s="15"/>
    </row>
    <row r="877" ht="15.75" customHeight="1">
      <c r="D877" s="15"/>
    </row>
    <row r="878" ht="15.75" customHeight="1">
      <c r="D878" s="15"/>
    </row>
    <row r="879" ht="15.75" customHeight="1">
      <c r="D879" s="15"/>
    </row>
    <row r="880" ht="15.75" customHeight="1">
      <c r="D880" s="15"/>
    </row>
    <row r="881" ht="15.75" customHeight="1">
      <c r="D881" s="15"/>
    </row>
    <row r="882" ht="15.75" customHeight="1">
      <c r="D882" s="15"/>
    </row>
    <row r="883" ht="15.75" customHeight="1">
      <c r="D883" s="15"/>
    </row>
    <row r="884" ht="15.75" customHeight="1">
      <c r="D884" s="15"/>
    </row>
    <row r="885" ht="15.75" customHeight="1">
      <c r="D885" s="15"/>
    </row>
    <row r="886" ht="15.75" customHeight="1">
      <c r="D886" s="15"/>
    </row>
    <row r="887" ht="15.75" customHeight="1">
      <c r="D887" s="15"/>
    </row>
    <row r="888" ht="15.75" customHeight="1">
      <c r="D888" s="15"/>
    </row>
    <row r="889" ht="15.75" customHeight="1">
      <c r="D889" s="15"/>
    </row>
    <row r="890" ht="15.75" customHeight="1">
      <c r="D890" s="15"/>
    </row>
    <row r="891" ht="15.75" customHeight="1">
      <c r="D891" s="15"/>
    </row>
    <row r="892" ht="15.75" customHeight="1">
      <c r="D892" s="15"/>
    </row>
    <row r="893" ht="15.75" customHeight="1">
      <c r="D893" s="15"/>
    </row>
    <row r="894" ht="15.75" customHeight="1">
      <c r="D894" s="15"/>
    </row>
    <row r="895" ht="15.75" customHeight="1">
      <c r="D895" s="15"/>
    </row>
    <row r="896" ht="15.75" customHeight="1">
      <c r="D896" s="15"/>
    </row>
    <row r="897" ht="15.75" customHeight="1">
      <c r="D897" s="15"/>
    </row>
    <row r="898" ht="15.75" customHeight="1">
      <c r="D898" s="15"/>
    </row>
    <row r="899" ht="15.75" customHeight="1">
      <c r="D899" s="15"/>
    </row>
    <row r="900" ht="15.75" customHeight="1">
      <c r="D900" s="15"/>
    </row>
    <row r="901" ht="15.75" customHeight="1">
      <c r="D901" s="15"/>
    </row>
    <row r="902" ht="15.75" customHeight="1">
      <c r="D902" s="15"/>
    </row>
    <row r="903" ht="15.75" customHeight="1">
      <c r="D903" s="15"/>
    </row>
    <row r="904" ht="15.75" customHeight="1">
      <c r="D904" s="15"/>
    </row>
    <row r="905" ht="15.75" customHeight="1">
      <c r="D905" s="15"/>
    </row>
    <row r="906" ht="15.75" customHeight="1">
      <c r="D906" s="15"/>
    </row>
    <row r="907" ht="15.75" customHeight="1">
      <c r="D907" s="15"/>
    </row>
    <row r="908" ht="15.75" customHeight="1">
      <c r="D908" s="15"/>
    </row>
    <row r="909" ht="15.75" customHeight="1">
      <c r="D909" s="15"/>
    </row>
    <row r="910" ht="15.75" customHeight="1">
      <c r="D910" s="15"/>
    </row>
    <row r="911" ht="15.75" customHeight="1">
      <c r="D911" s="15"/>
    </row>
    <row r="912" ht="15.75" customHeight="1">
      <c r="D912" s="15"/>
    </row>
    <row r="913" ht="15.75" customHeight="1">
      <c r="D913" s="15"/>
    </row>
    <row r="914" ht="15.75" customHeight="1">
      <c r="D914" s="15"/>
    </row>
    <row r="915" ht="15.75" customHeight="1">
      <c r="D915" s="15"/>
    </row>
    <row r="916" ht="15.75" customHeight="1">
      <c r="D916" s="15"/>
    </row>
    <row r="917" ht="15.75" customHeight="1">
      <c r="D917" s="15"/>
    </row>
    <row r="918" ht="15.75" customHeight="1">
      <c r="D918" s="15"/>
    </row>
    <row r="919" ht="15.75" customHeight="1">
      <c r="D919" s="15"/>
    </row>
    <row r="920" ht="15.75" customHeight="1">
      <c r="D920" s="15"/>
    </row>
    <row r="921" ht="15.75" customHeight="1">
      <c r="D921" s="15"/>
    </row>
    <row r="922" ht="15.75" customHeight="1">
      <c r="D922" s="15"/>
    </row>
    <row r="923" ht="15.75" customHeight="1">
      <c r="D923" s="15"/>
    </row>
    <row r="924" ht="15.75" customHeight="1">
      <c r="D924" s="15"/>
    </row>
    <row r="925" ht="15.75" customHeight="1">
      <c r="D925" s="15"/>
    </row>
    <row r="926" ht="15.75" customHeight="1">
      <c r="D926" s="15"/>
    </row>
    <row r="927" ht="15.75" customHeight="1">
      <c r="D927" s="15"/>
    </row>
    <row r="928" ht="15.75" customHeight="1">
      <c r="D928" s="15"/>
    </row>
    <row r="929" ht="15.75" customHeight="1">
      <c r="D929" s="15"/>
    </row>
    <row r="930" ht="15.75" customHeight="1">
      <c r="D930" s="15"/>
    </row>
    <row r="931" ht="15.75" customHeight="1">
      <c r="D931" s="15"/>
    </row>
    <row r="932" ht="15.75" customHeight="1">
      <c r="D932" s="15"/>
    </row>
    <row r="933" ht="15.75" customHeight="1">
      <c r="D933" s="15"/>
    </row>
    <row r="934" ht="15.75" customHeight="1">
      <c r="D934" s="15"/>
    </row>
    <row r="935" ht="15.75" customHeight="1">
      <c r="D935" s="15"/>
    </row>
    <row r="936" ht="15.75" customHeight="1">
      <c r="D936" s="15"/>
    </row>
    <row r="937" ht="15.75" customHeight="1">
      <c r="D937" s="15"/>
    </row>
    <row r="938" ht="15.75" customHeight="1">
      <c r="D938" s="15"/>
    </row>
    <row r="939" ht="15.75" customHeight="1">
      <c r="D939" s="15"/>
    </row>
    <row r="940" ht="15.75" customHeight="1">
      <c r="D940" s="15"/>
    </row>
    <row r="941" ht="15.75" customHeight="1">
      <c r="D941" s="15"/>
    </row>
    <row r="942" ht="15.75" customHeight="1">
      <c r="D942" s="15"/>
    </row>
    <row r="943" ht="15.75" customHeight="1">
      <c r="D943" s="15"/>
    </row>
    <row r="944" ht="15.75" customHeight="1">
      <c r="D944" s="15"/>
    </row>
    <row r="945" ht="15.75" customHeight="1">
      <c r="D945" s="15"/>
    </row>
    <row r="946" ht="15.75" customHeight="1">
      <c r="D946" s="15"/>
    </row>
    <row r="947" ht="15.75" customHeight="1">
      <c r="D947" s="15"/>
    </row>
    <row r="948" ht="15.75" customHeight="1">
      <c r="D948" s="15"/>
    </row>
    <row r="949" ht="15.75" customHeight="1">
      <c r="D949" s="15"/>
    </row>
    <row r="950" ht="15.75" customHeight="1">
      <c r="D950" s="15"/>
    </row>
    <row r="951" ht="15.75" customHeight="1">
      <c r="D951" s="15"/>
    </row>
    <row r="952" ht="15.75" customHeight="1">
      <c r="D952" s="15"/>
    </row>
    <row r="953" ht="15.75" customHeight="1">
      <c r="D953" s="15"/>
    </row>
    <row r="954" ht="15.75" customHeight="1">
      <c r="D954" s="15"/>
    </row>
    <row r="955" ht="15.75" customHeight="1">
      <c r="D955" s="15"/>
    </row>
    <row r="956" ht="15.75" customHeight="1">
      <c r="D956" s="15"/>
    </row>
    <row r="957" ht="15.75" customHeight="1">
      <c r="D957" s="15"/>
    </row>
    <row r="958" ht="15.75" customHeight="1">
      <c r="D958" s="15"/>
    </row>
    <row r="959" ht="15.75" customHeight="1">
      <c r="D959" s="15"/>
    </row>
    <row r="960" ht="15.75" customHeight="1">
      <c r="D960" s="15"/>
    </row>
    <row r="961" ht="15.75" customHeight="1">
      <c r="D961" s="15"/>
    </row>
    <row r="962" ht="15.75" customHeight="1">
      <c r="D962" s="15"/>
    </row>
    <row r="963" ht="15.75" customHeight="1">
      <c r="D963" s="15"/>
    </row>
    <row r="964" ht="15.75" customHeight="1">
      <c r="D964" s="15"/>
    </row>
    <row r="965" ht="15.75" customHeight="1">
      <c r="D965" s="15"/>
    </row>
    <row r="966" ht="15.75" customHeight="1">
      <c r="D966" s="15"/>
    </row>
    <row r="967" ht="15.75" customHeight="1">
      <c r="D967" s="15"/>
    </row>
    <row r="968" ht="15.75" customHeight="1">
      <c r="D968" s="15"/>
    </row>
    <row r="969" ht="15.75" customHeight="1">
      <c r="D969" s="15"/>
    </row>
    <row r="970" ht="15.75" customHeight="1">
      <c r="D970" s="15"/>
    </row>
    <row r="971" ht="15.75" customHeight="1">
      <c r="D971" s="15"/>
    </row>
    <row r="972" ht="15.75" customHeight="1">
      <c r="D972" s="15"/>
    </row>
    <row r="973" ht="15.75" customHeight="1">
      <c r="D973" s="15"/>
    </row>
    <row r="974" ht="15.75" customHeight="1">
      <c r="D974" s="15"/>
    </row>
    <row r="975" ht="15.75" customHeight="1">
      <c r="D975" s="15"/>
    </row>
    <row r="976" ht="15.75" customHeight="1">
      <c r="D976" s="15"/>
    </row>
    <row r="977" ht="15.75" customHeight="1">
      <c r="D977" s="15"/>
    </row>
    <row r="978" ht="15.75" customHeight="1">
      <c r="D978" s="15"/>
    </row>
    <row r="979" ht="15.75" customHeight="1">
      <c r="D979" s="15"/>
    </row>
    <row r="980" ht="15.75" customHeight="1">
      <c r="D980" s="15"/>
    </row>
    <row r="981" ht="15.75" customHeight="1">
      <c r="D981" s="15"/>
    </row>
    <row r="982" ht="15.75" customHeight="1">
      <c r="D982" s="15"/>
    </row>
    <row r="983" ht="15.75" customHeight="1">
      <c r="D983" s="15"/>
    </row>
    <row r="984" ht="15.75" customHeight="1">
      <c r="D984" s="15"/>
    </row>
    <row r="985" ht="15.75" customHeight="1">
      <c r="D985" s="15"/>
    </row>
    <row r="986" ht="15.75" customHeight="1">
      <c r="D986" s="15"/>
    </row>
    <row r="987" ht="15.75" customHeight="1">
      <c r="D987" s="15"/>
    </row>
    <row r="988" ht="15.75" customHeight="1">
      <c r="D988" s="15"/>
    </row>
    <row r="989" ht="15.75" customHeight="1">
      <c r="D989" s="15"/>
    </row>
    <row r="990" ht="15.75" customHeight="1">
      <c r="D990" s="15"/>
    </row>
    <row r="991" ht="15.75" customHeight="1">
      <c r="D991" s="15"/>
    </row>
    <row r="992" ht="15.75" customHeight="1">
      <c r="D992" s="15"/>
    </row>
    <row r="993" ht="15.75" customHeight="1">
      <c r="D993" s="15"/>
    </row>
    <row r="994" ht="15.75" customHeight="1">
      <c r="D994" s="15"/>
    </row>
    <row r="995" ht="15.75" customHeight="1">
      <c r="D995" s="15"/>
    </row>
    <row r="996" ht="15.75" customHeight="1">
      <c r="D996" s="15"/>
    </row>
    <row r="997" ht="15.75" customHeight="1">
      <c r="D997" s="15"/>
    </row>
    <row r="998" ht="15.75" customHeight="1">
      <c r="D998" s="15"/>
    </row>
    <row r="999" ht="15.75" customHeight="1">
      <c r="D999" s="15"/>
    </row>
    <row r="1000" ht="15.75" customHeight="1">
      <c r="D1000" s="15"/>
    </row>
  </sheetData>
  <conditionalFormatting sqref="G2:G156">
    <cfRule type="containsText" dxfId="4" priority="1" operator="containsText" text="GOOD">
      <formula>NOT(ISERROR(SEARCH(("GOOD"),(G2))))</formula>
    </cfRule>
  </conditionalFormatting>
  <conditionalFormatting sqref="G2:G156">
    <cfRule type="containsText" dxfId="5" priority="2" operator="containsText" text="POOR">
      <formula>NOT(ISERROR(SEARCH(("POOR"),(G2))))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5.43"/>
    <col customWidth="1" min="3" max="3" width="17.86"/>
    <col customWidth="1" min="4" max="4" width="20.43"/>
    <col customWidth="1" min="5" max="5" width="12.71"/>
    <col customWidth="1" min="6" max="6" width="19.43"/>
    <col customWidth="1" min="7" max="7" width="14.0"/>
    <col customWidth="1" min="8" max="8" width="17.43"/>
    <col customWidth="1" min="9" max="9" width="13.14"/>
    <col customWidth="1" min="10" max="10" width="14.0"/>
    <col customWidth="1" min="11" max="11" width="11.86"/>
    <col customWidth="1" min="12" max="12" width="14.86"/>
    <col customWidth="1" min="13" max="13" width="14.71"/>
    <col customWidth="1" hidden="1" min="14" max="14" width="11.0"/>
    <col customWidth="1" hidden="1" min="15" max="15" width="6.43"/>
    <col customWidth="1" hidden="1" min="16" max="16" width="7.0"/>
    <col customWidth="1" hidden="1" min="17" max="17" width="12.29"/>
    <col customWidth="1" hidden="1" min="18" max="18" width="13.14"/>
    <col customWidth="1" hidden="1" min="19" max="19" width="13.43"/>
    <col customWidth="1" min="20" max="22" width="9.14"/>
    <col customWidth="1" min="23" max="23" width="11.29"/>
    <col customWidth="1" min="24" max="24" width="7.43"/>
    <col customWidth="1" min="25" max="25" width="11.43"/>
    <col customWidth="1" min="26" max="26" width="7.86"/>
  </cols>
  <sheetData>
    <row r="1">
      <c r="A1" s="16" t="s">
        <v>0</v>
      </c>
      <c r="B1" s="16" t="s">
        <v>1</v>
      </c>
      <c r="C1" s="16" t="s">
        <v>12</v>
      </c>
      <c r="D1" s="16" t="s">
        <v>2</v>
      </c>
      <c r="E1" s="17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3"/>
      <c r="U1" s="3"/>
      <c r="V1" s="3"/>
      <c r="W1" s="3"/>
      <c r="X1" s="3"/>
      <c r="Y1" s="3"/>
      <c r="Z1" s="3"/>
    </row>
    <row r="2" hidden="1">
      <c r="A2" s="18" t="s">
        <v>19</v>
      </c>
      <c r="B2" s="19" t="s">
        <v>20</v>
      </c>
      <c r="C2" s="20">
        <v>58.28014952</v>
      </c>
      <c r="D2" s="21">
        <v>16919.0</v>
      </c>
      <c r="E2" s="22">
        <v>21500.0</v>
      </c>
      <c r="F2" s="22">
        <v>16360.0</v>
      </c>
      <c r="G2" s="23">
        <f t="shared" ref="G2:G156" si="1">SUM(F2/E2)</f>
        <v>0.7609302326</v>
      </c>
      <c r="H2" s="23" t="str">
        <f t="shared" ref="H2:H156" si="2">IF(G2&gt;69%, "GOOD", "POOR")</f>
        <v>GOOD</v>
      </c>
      <c r="I2" s="20">
        <v>1.8</v>
      </c>
      <c r="J2" s="20">
        <v>140.0</v>
      </c>
      <c r="K2" s="20" t="str">
        <f t="array" ref="K2">IFS(J2&gt;299,"High HP",J2&gt;99,"Medium HP",J2&lt;100,"Low HP")</f>
        <v>Medium HP</v>
      </c>
      <c r="L2" s="20" t="s">
        <v>21</v>
      </c>
      <c r="M2" s="20">
        <v>28.0</v>
      </c>
      <c r="N2" s="20">
        <v>101.2</v>
      </c>
      <c r="O2" s="20">
        <v>67.3</v>
      </c>
      <c r="P2" s="20">
        <v>172.4</v>
      </c>
      <c r="Q2" s="20">
        <v>2.639</v>
      </c>
      <c r="R2" s="20">
        <v>13.2</v>
      </c>
      <c r="S2" s="24">
        <v>40941.0</v>
      </c>
    </row>
    <row r="3" hidden="1">
      <c r="A3" s="25" t="s">
        <v>19</v>
      </c>
      <c r="B3" s="26" t="s">
        <v>22</v>
      </c>
      <c r="C3" s="27">
        <v>91.37077766</v>
      </c>
      <c r="D3" s="28">
        <v>39384.0</v>
      </c>
      <c r="E3" s="29">
        <v>28400.0</v>
      </c>
      <c r="F3" s="29">
        <v>19875.0</v>
      </c>
      <c r="G3" s="30">
        <f t="shared" si="1"/>
        <v>0.6998239437</v>
      </c>
      <c r="H3" s="30" t="str">
        <f t="shared" si="2"/>
        <v>GOOD</v>
      </c>
      <c r="I3" s="27">
        <v>3.2</v>
      </c>
      <c r="J3" s="27">
        <v>225.0</v>
      </c>
      <c r="K3" s="27" t="str">
        <f t="array" ref="K3">IFS(J3&gt;299,"High HP",J3&gt;99,"Medium HP",J3&lt;100,"Low HP")</f>
        <v>Medium HP</v>
      </c>
      <c r="L3" s="27" t="s">
        <v>21</v>
      </c>
      <c r="M3" s="27">
        <v>25.0</v>
      </c>
      <c r="N3" s="27">
        <v>108.1</v>
      </c>
      <c r="O3" s="27">
        <v>70.3</v>
      </c>
      <c r="P3" s="27">
        <v>192.9</v>
      </c>
      <c r="Q3" s="27">
        <v>3.517</v>
      </c>
      <c r="R3" s="27">
        <v>17.2</v>
      </c>
      <c r="S3" s="31">
        <v>40697.0</v>
      </c>
    </row>
    <row r="4" hidden="1">
      <c r="A4" s="18" t="s">
        <v>19</v>
      </c>
      <c r="B4" s="19" t="s">
        <v>23</v>
      </c>
      <c r="C4" s="20">
        <v>91.38977933</v>
      </c>
      <c r="D4" s="21">
        <v>8588.0</v>
      </c>
      <c r="E4" s="22">
        <v>42000.0</v>
      </c>
      <c r="F4" s="22">
        <v>29725.0</v>
      </c>
      <c r="G4" s="23">
        <f t="shared" si="1"/>
        <v>0.7077380952</v>
      </c>
      <c r="H4" s="23" t="str">
        <f t="shared" si="2"/>
        <v>GOOD</v>
      </c>
      <c r="I4" s="20">
        <v>3.5</v>
      </c>
      <c r="J4" s="20">
        <v>210.0</v>
      </c>
      <c r="K4" s="20" t="str">
        <f t="array" ref="K4">IFS(J4&gt;299,"High HP",J4&gt;99,"Medium HP",J4&lt;100,"Low HP")</f>
        <v>Medium HP</v>
      </c>
      <c r="L4" s="20" t="s">
        <v>21</v>
      </c>
      <c r="M4" s="20">
        <v>22.0</v>
      </c>
      <c r="N4" s="20">
        <v>114.6</v>
      </c>
      <c r="O4" s="20">
        <v>71.4</v>
      </c>
      <c r="P4" s="20">
        <v>196.6</v>
      </c>
      <c r="Q4" s="20">
        <v>3.85</v>
      </c>
      <c r="R4" s="20">
        <v>18.0</v>
      </c>
      <c r="S4" s="24">
        <v>40612.0</v>
      </c>
    </row>
    <row r="5" hidden="1">
      <c r="A5" s="25" t="s">
        <v>24</v>
      </c>
      <c r="B5" s="26" t="s">
        <v>25</v>
      </c>
      <c r="C5" s="27">
        <v>62.7776392</v>
      </c>
      <c r="D5" s="28">
        <v>20397.0</v>
      </c>
      <c r="E5" s="29">
        <v>23990.0</v>
      </c>
      <c r="F5" s="29">
        <v>22255.0</v>
      </c>
      <c r="G5" s="30">
        <f t="shared" si="1"/>
        <v>0.9276781992</v>
      </c>
      <c r="H5" s="30" t="str">
        <f t="shared" si="2"/>
        <v>GOOD</v>
      </c>
      <c r="I5" s="27">
        <v>1.8</v>
      </c>
      <c r="J5" s="27">
        <v>150.0</v>
      </c>
      <c r="K5" s="27" t="str">
        <f t="array" ref="K5">IFS(J5&gt;299,"High HP",J5&gt;99,"Medium HP",J5&lt;100,"Low HP")</f>
        <v>Medium HP</v>
      </c>
      <c r="L5" s="27" t="s">
        <v>21</v>
      </c>
      <c r="M5" s="27">
        <v>27.0</v>
      </c>
      <c r="N5" s="27">
        <v>102.6</v>
      </c>
      <c r="O5" s="27">
        <v>68.2</v>
      </c>
      <c r="P5" s="27">
        <v>178.0</v>
      </c>
      <c r="Q5" s="27">
        <v>2.998</v>
      </c>
      <c r="R5" s="27">
        <v>16.4</v>
      </c>
      <c r="S5" s="31">
        <v>40824.0</v>
      </c>
      <c r="U5" s="3"/>
      <c r="W5" s="11"/>
    </row>
    <row r="6" hidden="1">
      <c r="A6" s="18" t="s">
        <v>24</v>
      </c>
      <c r="B6" s="19" t="s">
        <v>26</v>
      </c>
      <c r="C6" s="20">
        <v>84.56510502</v>
      </c>
      <c r="D6" s="21">
        <v>18780.0</v>
      </c>
      <c r="E6" s="22">
        <v>33950.0</v>
      </c>
      <c r="F6" s="22">
        <v>23555.0</v>
      </c>
      <c r="G6" s="23">
        <f t="shared" si="1"/>
        <v>0.693814433</v>
      </c>
      <c r="H6" s="23" t="str">
        <f t="shared" si="2"/>
        <v>GOOD</v>
      </c>
      <c r="I6" s="20">
        <v>2.8</v>
      </c>
      <c r="J6" s="20">
        <v>200.0</v>
      </c>
      <c r="K6" s="20" t="str">
        <f t="array" ref="K6">IFS(J6&gt;299,"High HP",J6&gt;99,"Medium HP",J6&lt;100,"Low HP")</f>
        <v>Medium HP</v>
      </c>
      <c r="L6" s="20" t="s">
        <v>21</v>
      </c>
      <c r="M6" s="20">
        <v>22.0</v>
      </c>
      <c r="N6" s="20">
        <v>108.7</v>
      </c>
      <c r="O6" s="20">
        <v>76.1</v>
      </c>
      <c r="P6" s="20">
        <v>192.0</v>
      </c>
      <c r="Q6" s="20">
        <v>3.561</v>
      </c>
      <c r="R6" s="20">
        <v>18.5</v>
      </c>
      <c r="S6" s="24">
        <v>40764.0</v>
      </c>
      <c r="W6" s="11"/>
    </row>
    <row r="7" hidden="1">
      <c r="A7" s="25" t="s">
        <v>24</v>
      </c>
      <c r="B7" s="26" t="s">
        <v>27</v>
      </c>
      <c r="C7" s="27">
        <v>134.6568582</v>
      </c>
      <c r="D7" s="28">
        <v>1380.0</v>
      </c>
      <c r="E7" s="29">
        <v>62000.0</v>
      </c>
      <c r="F7" s="29">
        <v>39000.0</v>
      </c>
      <c r="G7" s="30">
        <f t="shared" si="1"/>
        <v>0.6290322581</v>
      </c>
      <c r="H7" s="30" t="str">
        <f t="shared" si="2"/>
        <v>POOR</v>
      </c>
      <c r="I7" s="27">
        <v>4.2</v>
      </c>
      <c r="J7" s="27">
        <v>310.0</v>
      </c>
      <c r="K7" s="27" t="str">
        <f t="array" ref="K7">IFS(J7&gt;299,"High HP",J7&gt;99,"Medium HP",J7&lt;100,"Low HP")</f>
        <v>High HP</v>
      </c>
      <c r="L7" s="27" t="s">
        <v>21</v>
      </c>
      <c r="M7" s="27">
        <v>21.0</v>
      </c>
      <c r="N7" s="27">
        <v>113.0</v>
      </c>
      <c r="O7" s="27">
        <v>74.0</v>
      </c>
      <c r="P7" s="27">
        <v>198.2</v>
      </c>
      <c r="Q7" s="27">
        <v>3.902</v>
      </c>
      <c r="R7" s="27">
        <v>23.7</v>
      </c>
      <c r="S7" s="31">
        <v>40966.0</v>
      </c>
      <c r="W7" s="11"/>
    </row>
    <row r="8" hidden="1">
      <c r="A8" s="18" t="s">
        <v>28</v>
      </c>
      <c r="B8" s="19" t="s">
        <v>29</v>
      </c>
      <c r="C8" s="20">
        <v>71.19120671</v>
      </c>
      <c r="D8" s="21">
        <v>19747.0</v>
      </c>
      <c r="E8" s="22">
        <v>26990.0</v>
      </c>
      <c r="F8" s="22">
        <v>24500.0</v>
      </c>
      <c r="G8" s="23">
        <f t="shared" si="1"/>
        <v>0.9077436087</v>
      </c>
      <c r="H8" s="23" t="str">
        <f t="shared" si="2"/>
        <v>GOOD</v>
      </c>
      <c r="I8" s="20">
        <v>2.5</v>
      </c>
      <c r="J8" s="20">
        <v>170.0</v>
      </c>
      <c r="K8" s="20" t="str">
        <f t="array" ref="K8">IFS(J8&gt;299,"High HP",J8&gt;99,"Medium HP",J8&lt;100,"Low HP")</f>
        <v>Medium HP</v>
      </c>
      <c r="L8" s="20" t="s">
        <v>21</v>
      </c>
      <c r="M8" s="20">
        <v>26.0</v>
      </c>
      <c r="N8" s="20">
        <v>107.3</v>
      </c>
      <c r="O8" s="20">
        <v>68.4</v>
      </c>
      <c r="P8" s="20">
        <v>176.0</v>
      </c>
      <c r="Q8" s="20">
        <v>3.179</v>
      </c>
      <c r="R8" s="20">
        <v>16.6</v>
      </c>
      <c r="S8" s="24">
        <v>40722.0</v>
      </c>
      <c r="W8" s="11"/>
    </row>
    <row r="9" hidden="1">
      <c r="A9" s="25" t="s">
        <v>28</v>
      </c>
      <c r="B9" s="26" t="s">
        <v>30</v>
      </c>
      <c r="C9" s="27">
        <v>81.87706856</v>
      </c>
      <c r="D9" s="28">
        <v>9231.0</v>
      </c>
      <c r="E9" s="29">
        <v>33400.0</v>
      </c>
      <c r="F9" s="29">
        <v>28675.0</v>
      </c>
      <c r="G9" s="30">
        <f t="shared" si="1"/>
        <v>0.8585329341</v>
      </c>
      <c r="H9" s="30" t="str">
        <f t="shared" si="2"/>
        <v>GOOD</v>
      </c>
      <c r="I9" s="27">
        <v>2.8</v>
      </c>
      <c r="J9" s="27">
        <v>193.0</v>
      </c>
      <c r="K9" s="27" t="str">
        <f t="array" ref="K9">IFS(J9&gt;299,"High HP",J9&gt;99,"Medium HP",J9&lt;100,"Low HP")</f>
        <v>Medium HP</v>
      </c>
      <c r="L9" s="27" t="s">
        <v>21</v>
      </c>
      <c r="M9" s="27">
        <v>24.0</v>
      </c>
      <c r="N9" s="27">
        <v>107.3</v>
      </c>
      <c r="O9" s="27">
        <v>68.5</v>
      </c>
      <c r="P9" s="27">
        <v>176.0</v>
      </c>
      <c r="Q9" s="27">
        <v>3.197</v>
      </c>
      <c r="R9" s="27">
        <v>16.6</v>
      </c>
      <c r="S9" s="31">
        <v>40937.0</v>
      </c>
      <c r="W9" s="11"/>
    </row>
    <row r="10" hidden="1">
      <c r="A10" s="18" t="s">
        <v>28</v>
      </c>
      <c r="B10" s="19" t="s">
        <v>31</v>
      </c>
      <c r="C10" s="20">
        <v>83.9987238</v>
      </c>
      <c r="D10" s="21">
        <v>17527.0</v>
      </c>
      <c r="E10" s="22">
        <v>38900.0</v>
      </c>
      <c r="F10" s="22">
        <v>36125.0</v>
      </c>
      <c r="G10" s="23">
        <f t="shared" si="1"/>
        <v>0.9286632391</v>
      </c>
      <c r="H10" s="23" t="str">
        <f t="shared" si="2"/>
        <v>GOOD</v>
      </c>
      <c r="I10" s="20">
        <v>2.8</v>
      </c>
      <c r="J10" s="20">
        <v>193.0</v>
      </c>
      <c r="K10" s="20" t="str">
        <f t="array" ref="K10">IFS(J10&gt;299,"High HP",J10&gt;99,"Medium HP",J10&lt;100,"Low HP")</f>
        <v>Medium HP</v>
      </c>
      <c r="L10" s="20" t="s">
        <v>21</v>
      </c>
      <c r="M10" s="20">
        <v>25.0</v>
      </c>
      <c r="N10" s="20">
        <v>111.4</v>
      </c>
      <c r="O10" s="20">
        <v>70.9</v>
      </c>
      <c r="P10" s="20">
        <v>188.0</v>
      </c>
      <c r="Q10" s="20">
        <v>3.472</v>
      </c>
      <c r="R10" s="20">
        <v>18.5</v>
      </c>
      <c r="S10" s="24">
        <v>40637.0</v>
      </c>
      <c r="W10" s="11"/>
    </row>
    <row r="11" hidden="1">
      <c r="A11" s="25" t="s">
        <v>32</v>
      </c>
      <c r="B11" s="26" t="s">
        <v>33</v>
      </c>
      <c r="C11" s="27">
        <v>71.18145132</v>
      </c>
      <c r="D11" s="28">
        <v>91561.0</v>
      </c>
      <c r="E11" s="29">
        <v>21975.0</v>
      </c>
      <c r="F11" s="29">
        <v>12475.0</v>
      </c>
      <c r="G11" s="30">
        <f t="shared" si="1"/>
        <v>0.5676905575</v>
      </c>
      <c r="H11" s="30" t="str">
        <f t="shared" si="2"/>
        <v>POOR</v>
      </c>
      <c r="I11" s="27">
        <v>3.1</v>
      </c>
      <c r="J11" s="27">
        <v>175.0</v>
      </c>
      <c r="K11" s="27" t="str">
        <f t="array" ref="K11">IFS(J11&gt;299,"High HP",J11&gt;99,"Medium HP",J11&lt;100,"Low HP")</f>
        <v>Medium HP</v>
      </c>
      <c r="L11" s="27" t="s">
        <v>21</v>
      </c>
      <c r="M11" s="27">
        <v>25.0</v>
      </c>
      <c r="N11" s="27">
        <v>109.0</v>
      </c>
      <c r="O11" s="27">
        <v>72.7</v>
      </c>
      <c r="P11" s="27">
        <v>194.6</v>
      </c>
      <c r="Q11" s="27">
        <v>3.368</v>
      </c>
      <c r="R11" s="27">
        <v>17.5</v>
      </c>
      <c r="S11" s="31">
        <v>40849.0</v>
      </c>
      <c r="W11" s="11"/>
    </row>
    <row r="12" hidden="1">
      <c r="A12" s="18" t="s">
        <v>32</v>
      </c>
      <c r="B12" s="19" t="s">
        <v>34</v>
      </c>
      <c r="C12" s="20">
        <v>95.63670253</v>
      </c>
      <c r="D12" s="21">
        <v>39350.0</v>
      </c>
      <c r="E12" s="22">
        <v>25300.0</v>
      </c>
      <c r="F12" s="22">
        <v>13740.0</v>
      </c>
      <c r="G12" s="23">
        <f t="shared" si="1"/>
        <v>0.543083004</v>
      </c>
      <c r="H12" s="23" t="str">
        <f t="shared" si="2"/>
        <v>POOR</v>
      </c>
      <c r="I12" s="20">
        <v>3.8</v>
      </c>
      <c r="J12" s="20">
        <v>240.0</v>
      </c>
      <c r="K12" s="20" t="str">
        <f t="array" ref="K12">IFS(J12&gt;299,"High HP",J12&gt;99,"Medium HP",J12&lt;100,"Low HP")</f>
        <v>Medium HP</v>
      </c>
      <c r="L12" s="20" t="s">
        <v>21</v>
      </c>
      <c r="M12" s="20">
        <v>23.0</v>
      </c>
      <c r="N12" s="20">
        <v>109.0</v>
      </c>
      <c r="O12" s="20">
        <v>72.7</v>
      </c>
      <c r="P12" s="20">
        <v>196.2</v>
      </c>
      <c r="Q12" s="20">
        <v>3.543</v>
      </c>
      <c r="R12" s="20">
        <v>17.5</v>
      </c>
      <c r="S12" s="24">
        <v>40789.0</v>
      </c>
      <c r="W12" s="11"/>
    </row>
    <row r="13" hidden="1">
      <c r="A13" s="25" t="s">
        <v>32</v>
      </c>
      <c r="B13" s="26" t="s">
        <v>35</v>
      </c>
      <c r="C13" s="27">
        <v>85.82840825</v>
      </c>
      <c r="D13" s="28">
        <v>27851.0</v>
      </c>
      <c r="E13" s="29">
        <v>31965.0</v>
      </c>
      <c r="F13" s="29">
        <v>20190.0</v>
      </c>
      <c r="G13" s="30">
        <f t="shared" si="1"/>
        <v>0.6316283435</v>
      </c>
      <c r="H13" s="30" t="str">
        <f t="shared" si="2"/>
        <v>POOR</v>
      </c>
      <c r="I13" s="27">
        <v>3.8</v>
      </c>
      <c r="J13" s="27">
        <v>205.0</v>
      </c>
      <c r="K13" s="27" t="str">
        <f t="array" ref="K13">IFS(J13&gt;299,"High HP",J13&gt;99,"Medium HP",J13&lt;100,"Low HP")</f>
        <v>Medium HP</v>
      </c>
      <c r="L13" s="27" t="s">
        <v>21</v>
      </c>
      <c r="M13" s="27">
        <v>24.0</v>
      </c>
      <c r="N13" s="27">
        <v>113.8</v>
      </c>
      <c r="O13" s="27">
        <v>74.7</v>
      </c>
      <c r="P13" s="27">
        <v>206.8</v>
      </c>
      <c r="Q13" s="27">
        <v>3.778</v>
      </c>
      <c r="R13" s="27">
        <v>18.5</v>
      </c>
      <c r="S13" s="31">
        <v>40991.0</v>
      </c>
      <c r="W13" s="11"/>
    </row>
    <row r="14" hidden="1">
      <c r="A14" s="18" t="s">
        <v>32</v>
      </c>
      <c r="B14" s="19" t="s">
        <v>36</v>
      </c>
      <c r="C14" s="20">
        <v>84.25452581</v>
      </c>
      <c r="D14" s="21">
        <v>83257.0</v>
      </c>
      <c r="E14" s="22">
        <v>27885.0</v>
      </c>
      <c r="F14" s="22">
        <v>13360.0</v>
      </c>
      <c r="G14" s="23">
        <f t="shared" si="1"/>
        <v>0.479110633</v>
      </c>
      <c r="H14" s="23" t="str">
        <f t="shared" si="2"/>
        <v>POOR</v>
      </c>
      <c r="I14" s="20">
        <v>3.8</v>
      </c>
      <c r="J14" s="20">
        <v>205.0</v>
      </c>
      <c r="K14" s="20" t="str">
        <f t="array" ref="K14">IFS(J14&gt;299,"High HP",J14&gt;99,"Medium HP",J14&lt;100,"Low HP")</f>
        <v>Medium HP</v>
      </c>
      <c r="L14" s="20" t="s">
        <v>21</v>
      </c>
      <c r="M14" s="20">
        <v>25.0</v>
      </c>
      <c r="N14" s="20">
        <v>112.2</v>
      </c>
      <c r="O14" s="20">
        <v>73.5</v>
      </c>
      <c r="P14" s="20">
        <v>200.0</v>
      </c>
      <c r="Q14" s="20">
        <v>3.591</v>
      </c>
      <c r="R14" s="20">
        <v>17.5</v>
      </c>
      <c r="S14" s="24">
        <v>40747.0</v>
      </c>
    </row>
    <row r="15" hidden="1">
      <c r="A15" s="25" t="s">
        <v>37</v>
      </c>
      <c r="B15" s="26" t="s">
        <v>38</v>
      </c>
      <c r="C15" s="27">
        <v>113.8545976</v>
      </c>
      <c r="D15" s="28">
        <v>63729.0</v>
      </c>
      <c r="E15" s="29">
        <v>39895.0</v>
      </c>
      <c r="F15" s="29">
        <v>22525.0</v>
      </c>
      <c r="G15" s="30">
        <f t="shared" si="1"/>
        <v>0.5646070936</v>
      </c>
      <c r="H15" s="30" t="str">
        <f t="shared" si="2"/>
        <v>POOR</v>
      </c>
      <c r="I15" s="27">
        <v>4.6</v>
      </c>
      <c r="J15" s="27">
        <v>275.0</v>
      </c>
      <c r="K15" s="27" t="str">
        <f t="array" ref="K15">IFS(J15&gt;299,"High HP",J15&gt;99,"Medium HP",J15&lt;100,"Low HP")</f>
        <v>Medium HP</v>
      </c>
      <c r="L15" s="27" t="s">
        <v>21</v>
      </c>
      <c r="M15" s="27">
        <v>22.0</v>
      </c>
      <c r="N15" s="27">
        <v>115.3</v>
      </c>
      <c r="O15" s="27">
        <v>74.5</v>
      </c>
      <c r="P15" s="27">
        <v>207.2</v>
      </c>
      <c r="Q15" s="27">
        <v>3.978</v>
      </c>
      <c r="R15" s="27">
        <v>18.5</v>
      </c>
      <c r="S15" s="31">
        <v>40962.0</v>
      </c>
    </row>
    <row r="16" hidden="1">
      <c r="A16" s="18" t="s">
        <v>37</v>
      </c>
      <c r="B16" s="19" t="s">
        <v>39</v>
      </c>
      <c r="C16" s="20">
        <v>115.6213578</v>
      </c>
      <c r="D16" s="21">
        <v>15943.0</v>
      </c>
      <c r="E16" s="22">
        <v>44475.0</v>
      </c>
      <c r="F16" s="22">
        <v>27100.0</v>
      </c>
      <c r="G16" s="23">
        <f t="shared" si="1"/>
        <v>0.6093310849</v>
      </c>
      <c r="H16" s="23" t="str">
        <f t="shared" si="2"/>
        <v>POOR</v>
      </c>
      <c r="I16" s="20">
        <v>4.6</v>
      </c>
      <c r="J16" s="20">
        <v>275.0</v>
      </c>
      <c r="K16" s="20" t="str">
        <f t="array" ref="K16">IFS(J16&gt;299,"High HP",J16&gt;99,"Medium HP",J16&lt;100,"Low HP")</f>
        <v>Medium HP</v>
      </c>
      <c r="L16" s="20" t="s">
        <v>21</v>
      </c>
      <c r="M16" s="20">
        <v>22.0</v>
      </c>
      <c r="N16" s="20">
        <v>112.2</v>
      </c>
      <c r="O16" s="20">
        <v>75.0</v>
      </c>
      <c r="P16" s="20">
        <v>201.0</v>
      </c>
      <c r="Q16" s="20">
        <v>3.875</v>
      </c>
      <c r="R16" s="20">
        <v>18.5</v>
      </c>
      <c r="S16" s="24">
        <v>40662.0</v>
      </c>
      <c r="V16" s="11"/>
    </row>
    <row r="17" hidden="1">
      <c r="A17" s="25" t="s">
        <v>37</v>
      </c>
      <c r="B17" s="26" t="s">
        <v>40</v>
      </c>
      <c r="C17" s="27">
        <v>113.7658739</v>
      </c>
      <c r="D17" s="28">
        <v>6536.0</v>
      </c>
      <c r="E17" s="29">
        <v>39665.0</v>
      </c>
      <c r="F17" s="29">
        <v>25725.0</v>
      </c>
      <c r="G17" s="30">
        <f t="shared" si="1"/>
        <v>0.648556662</v>
      </c>
      <c r="H17" s="30" t="str">
        <f t="shared" si="2"/>
        <v>POOR</v>
      </c>
      <c r="I17" s="27">
        <v>4.6</v>
      </c>
      <c r="J17" s="27">
        <v>275.0</v>
      </c>
      <c r="K17" s="27" t="str">
        <f t="array" ref="K17">IFS(J17&gt;299,"High HP",J17&gt;99,"Medium HP",J17&lt;100,"Low HP")</f>
        <v>Medium HP</v>
      </c>
      <c r="L17" s="27" t="s">
        <v>21</v>
      </c>
      <c r="M17" s="27">
        <v>22.0</v>
      </c>
      <c r="N17" s="27">
        <v>108.0</v>
      </c>
      <c r="O17" s="27">
        <v>75.5</v>
      </c>
      <c r="P17" s="27">
        <v>200.6</v>
      </c>
      <c r="Q17" s="27">
        <v>3.843</v>
      </c>
      <c r="R17" s="27">
        <v>19.0</v>
      </c>
      <c r="S17" s="31">
        <v>40874.0</v>
      </c>
    </row>
    <row r="18" hidden="1">
      <c r="A18" s="18" t="s">
        <v>37</v>
      </c>
      <c r="B18" s="19" t="s">
        <v>41</v>
      </c>
      <c r="C18" s="20">
        <v>83.48309358</v>
      </c>
      <c r="D18" s="21">
        <v>11185.0</v>
      </c>
      <c r="E18" s="22">
        <v>31010.0</v>
      </c>
      <c r="F18" s="22">
        <v>18225.0</v>
      </c>
      <c r="G18" s="23">
        <f t="shared" si="1"/>
        <v>0.5877136408</v>
      </c>
      <c r="H18" s="23" t="str">
        <f t="shared" si="2"/>
        <v>POOR</v>
      </c>
      <c r="I18" s="20">
        <v>3.0</v>
      </c>
      <c r="J18" s="20">
        <v>200.0</v>
      </c>
      <c r="K18" s="20" t="str">
        <f t="array" ref="K18">IFS(J18&gt;299,"High HP",J18&gt;99,"Medium HP",J18&lt;100,"Low HP")</f>
        <v>Medium HP</v>
      </c>
      <c r="L18" s="20" t="s">
        <v>21</v>
      </c>
      <c r="M18" s="20">
        <v>22.0</v>
      </c>
      <c r="N18" s="20">
        <v>107.4</v>
      </c>
      <c r="O18" s="20">
        <v>70.3</v>
      </c>
      <c r="P18" s="20">
        <v>194.8</v>
      </c>
      <c r="Q18" s="20">
        <v>3.77</v>
      </c>
      <c r="R18" s="20">
        <v>18.0</v>
      </c>
      <c r="S18" s="24">
        <v>40814.0</v>
      </c>
    </row>
    <row r="19" hidden="1">
      <c r="A19" s="25" t="s">
        <v>37</v>
      </c>
      <c r="B19" s="26" t="s">
        <v>42</v>
      </c>
      <c r="C19" s="27">
        <v>109.5091165</v>
      </c>
      <c r="D19" s="28">
        <v>14785.0</v>
      </c>
      <c r="E19" s="29">
        <v>46225.0</v>
      </c>
      <c r="F19" s="29">
        <v>31245.0</v>
      </c>
      <c r="G19" s="30">
        <f t="shared" si="1"/>
        <v>0.6759329367</v>
      </c>
      <c r="H19" s="30" t="str">
        <f t="shared" si="2"/>
        <v>POOR</v>
      </c>
      <c r="I19" s="27">
        <v>5.7</v>
      </c>
      <c r="J19" s="27">
        <v>255.0</v>
      </c>
      <c r="K19" s="27" t="str">
        <f t="array" ref="K19">IFS(J19&gt;299,"High HP",J19&gt;99,"Medium HP",J19&lt;100,"Low HP")</f>
        <v>Medium HP</v>
      </c>
      <c r="L19" s="27" t="s">
        <v>43</v>
      </c>
      <c r="M19" s="27">
        <v>15.0</v>
      </c>
      <c r="N19" s="27">
        <v>117.5</v>
      </c>
      <c r="O19" s="27">
        <v>77.0</v>
      </c>
      <c r="P19" s="27">
        <v>201.2</v>
      </c>
      <c r="Q19" s="27">
        <v>5.572</v>
      </c>
      <c r="R19" s="27">
        <v>30.0</v>
      </c>
      <c r="S19" s="31">
        <v>41016.0</v>
      </c>
    </row>
    <row r="20" hidden="1">
      <c r="A20" s="18" t="s">
        <v>44</v>
      </c>
      <c r="B20" s="19" t="s">
        <v>45</v>
      </c>
      <c r="C20" s="20">
        <v>46.36334747</v>
      </c>
      <c r="D20" s="21">
        <v>145519.0</v>
      </c>
      <c r="E20" s="22">
        <v>13260.0</v>
      </c>
      <c r="F20" s="22">
        <v>9250.0</v>
      </c>
      <c r="G20" s="23">
        <f t="shared" si="1"/>
        <v>0.697586727</v>
      </c>
      <c r="H20" s="23" t="str">
        <f t="shared" si="2"/>
        <v>GOOD</v>
      </c>
      <c r="I20" s="20">
        <v>2.2</v>
      </c>
      <c r="J20" s="20">
        <v>115.0</v>
      </c>
      <c r="K20" s="20" t="str">
        <f t="array" ref="K20">IFS(J20&gt;299,"High HP",J20&gt;99,"Medium HP",J20&lt;100,"Low HP")</f>
        <v>Medium HP</v>
      </c>
      <c r="L20" s="20" t="s">
        <v>21</v>
      </c>
      <c r="M20" s="20">
        <v>27.0</v>
      </c>
      <c r="N20" s="20">
        <v>104.1</v>
      </c>
      <c r="O20" s="20">
        <v>67.9</v>
      </c>
      <c r="P20" s="20">
        <v>180.9</v>
      </c>
      <c r="Q20" s="20">
        <v>2.676</v>
      </c>
      <c r="R20" s="20">
        <v>14.3</v>
      </c>
      <c r="S20" s="24">
        <v>40772.0</v>
      </c>
    </row>
    <row r="21" ht="15.75" hidden="1" customHeight="1">
      <c r="A21" s="25" t="s">
        <v>44</v>
      </c>
      <c r="B21" s="26" t="s">
        <v>46</v>
      </c>
      <c r="C21" s="27">
        <v>67.31446216</v>
      </c>
      <c r="D21" s="28">
        <v>135126.0</v>
      </c>
      <c r="E21" s="29">
        <v>16535.0</v>
      </c>
      <c r="F21" s="29">
        <v>11225.0</v>
      </c>
      <c r="G21" s="30">
        <f t="shared" si="1"/>
        <v>0.6788630178</v>
      </c>
      <c r="H21" s="30" t="str">
        <f t="shared" si="2"/>
        <v>POOR</v>
      </c>
      <c r="I21" s="27">
        <v>3.1</v>
      </c>
      <c r="J21" s="27">
        <v>170.0</v>
      </c>
      <c r="K21" s="27" t="str">
        <f t="array" ref="K21">IFS(J21&gt;299,"High HP",J21&gt;99,"Medium HP",J21&lt;100,"Low HP")</f>
        <v>Medium HP</v>
      </c>
      <c r="L21" s="27" t="s">
        <v>21</v>
      </c>
      <c r="M21" s="27">
        <v>25.0</v>
      </c>
      <c r="N21" s="27">
        <v>107.0</v>
      </c>
      <c r="O21" s="27">
        <v>69.4</v>
      </c>
      <c r="P21" s="27">
        <v>190.4</v>
      </c>
      <c r="Q21" s="27">
        <v>3.051</v>
      </c>
      <c r="R21" s="27">
        <v>15.0</v>
      </c>
      <c r="S21" s="31">
        <v>40987.0</v>
      </c>
      <c r="V21" s="3"/>
      <c r="W21" s="3"/>
      <c r="X21" s="12"/>
      <c r="Y21" s="12"/>
      <c r="Z21" s="12"/>
    </row>
    <row r="22" ht="15.75" hidden="1" customHeight="1">
      <c r="A22" s="18" t="s">
        <v>44</v>
      </c>
      <c r="B22" s="19" t="s">
        <v>47</v>
      </c>
      <c r="C22" s="20">
        <v>69.9913956</v>
      </c>
      <c r="D22" s="21">
        <v>24629.0</v>
      </c>
      <c r="E22" s="22">
        <v>18890.0</v>
      </c>
      <c r="F22" s="22">
        <v>10310.0</v>
      </c>
      <c r="G22" s="23">
        <f t="shared" si="1"/>
        <v>0.545791424</v>
      </c>
      <c r="H22" s="23" t="str">
        <f t="shared" si="2"/>
        <v>POOR</v>
      </c>
      <c r="I22" s="20">
        <v>3.1</v>
      </c>
      <c r="J22" s="20">
        <v>175.0</v>
      </c>
      <c r="K22" s="20" t="str">
        <f t="array" ref="K22">IFS(J22&gt;299,"High HP",J22&gt;99,"Medium HP",J22&lt;100,"Low HP")</f>
        <v>Medium HP</v>
      </c>
      <c r="L22" s="20" t="s">
        <v>21</v>
      </c>
      <c r="M22" s="20">
        <v>25.0</v>
      </c>
      <c r="N22" s="20">
        <v>107.5</v>
      </c>
      <c r="O22" s="20">
        <v>72.5</v>
      </c>
      <c r="P22" s="20">
        <v>200.9</v>
      </c>
      <c r="Q22" s="20">
        <v>3.33</v>
      </c>
      <c r="R22" s="20">
        <v>16.6</v>
      </c>
      <c r="S22" s="24">
        <v>40687.0</v>
      </c>
      <c r="X22" s="13"/>
      <c r="Y22" s="13"/>
      <c r="Z22" s="13"/>
    </row>
    <row r="23" ht="15.75" hidden="1" customHeight="1">
      <c r="A23" s="25" t="s">
        <v>44</v>
      </c>
      <c r="B23" s="26" t="s">
        <v>48</v>
      </c>
      <c r="C23" s="27">
        <v>72.03091719</v>
      </c>
      <c r="D23" s="28">
        <v>42593.0</v>
      </c>
      <c r="E23" s="29">
        <v>19390.0</v>
      </c>
      <c r="F23" s="29">
        <v>11525.0</v>
      </c>
      <c r="G23" s="30">
        <f t="shared" si="1"/>
        <v>0.5943785456</v>
      </c>
      <c r="H23" s="30" t="str">
        <f t="shared" si="2"/>
        <v>POOR</v>
      </c>
      <c r="I23" s="27">
        <v>3.4</v>
      </c>
      <c r="J23" s="27">
        <v>180.0</v>
      </c>
      <c r="K23" s="27" t="str">
        <f t="array" ref="K23">IFS(J23&gt;299,"High HP",J23&gt;99,"Medium HP",J23&lt;100,"Low HP")</f>
        <v>Medium HP</v>
      </c>
      <c r="L23" s="27" t="s">
        <v>21</v>
      </c>
      <c r="M23" s="27">
        <v>27.0</v>
      </c>
      <c r="N23" s="27">
        <v>110.5</v>
      </c>
      <c r="O23" s="27">
        <v>72.7</v>
      </c>
      <c r="P23" s="27">
        <v>197.9</v>
      </c>
      <c r="Q23" s="27">
        <v>3.34</v>
      </c>
      <c r="R23" s="27">
        <v>17.0</v>
      </c>
      <c r="S23" s="31">
        <v>40899.0</v>
      </c>
    </row>
    <row r="24" ht="15.75" hidden="1" customHeight="1">
      <c r="A24" s="18" t="s">
        <v>44</v>
      </c>
      <c r="B24" s="19" t="s">
        <v>49</v>
      </c>
      <c r="C24" s="20">
        <v>81.11854333</v>
      </c>
      <c r="D24" s="21">
        <v>26402.0</v>
      </c>
      <c r="E24" s="22">
        <v>24340.0</v>
      </c>
      <c r="F24" s="22">
        <v>13025.0</v>
      </c>
      <c r="G24" s="23">
        <f t="shared" si="1"/>
        <v>0.5351273624</v>
      </c>
      <c r="H24" s="23" t="str">
        <f t="shared" si="2"/>
        <v>POOR</v>
      </c>
      <c r="I24" s="20">
        <v>3.8</v>
      </c>
      <c r="J24" s="20">
        <v>200.0</v>
      </c>
      <c r="K24" s="20" t="str">
        <f t="array" ref="K24">IFS(J24&gt;299,"High HP",J24&gt;99,"Medium HP",J24&lt;100,"Low HP")</f>
        <v>Medium HP</v>
      </c>
      <c r="L24" s="20" t="s">
        <v>21</v>
      </c>
      <c r="M24" s="20">
        <v>25.0</v>
      </c>
      <c r="N24" s="20">
        <v>101.1</v>
      </c>
      <c r="O24" s="20">
        <v>74.1</v>
      </c>
      <c r="P24" s="20">
        <v>193.2</v>
      </c>
      <c r="Q24" s="20">
        <v>3.5</v>
      </c>
      <c r="R24" s="20">
        <v>16.8</v>
      </c>
      <c r="S24" s="24">
        <v>40839.0</v>
      </c>
    </row>
    <row r="25" ht="15.75" hidden="1" customHeight="1">
      <c r="A25" s="25" t="s">
        <v>44</v>
      </c>
      <c r="B25" s="26" t="s">
        <v>50</v>
      </c>
      <c r="C25" s="27">
        <v>141.14115</v>
      </c>
      <c r="D25" s="28">
        <v>17947.0</v>
      </c>
      <c r="E25" s="29">
        <v>55705.0</v>
      </c>
      <c r="F25" s="29">
        <v>36225.0</v>
      </c>
      <c r="G25" s="30">
        <f t="shared" si="1"/>
        <v>0.6503006911</v>
      </c>
      <c r="H25" s="30" t="str">
        <f t="shared" si="2"/>
        <v>POOR</v>
      </c>
      <c r="I25" s="27">
        <v>5.7</v>
      </c>
      <c r="J25" s="27">
        <v>345.0</v>
      </c>
      <c r="K25" s="27" t="str">
        <f t="array" ref="K25">IFS(J25&gt;299,"High HP",J25&gt;99,"Medium HP",J25&lt;100,"Low HP")</f>
        <v>High HP</v>
      </c>
      <c r="L25" s="27" t="s">
        <v>21</v>
      </c>
      <c r="M25" s="27">
        <v>22.0</v>
      </c>
      <c r="N25" s="27">
        <v>104.5</v>
      </c>
      <c r="O25" s="27">
        <v>73.6</v>
      </c>
      <c r="P25" s="27">
        <v>179.7</v>
      </c>
      <c r="Q25" s="27">
        <v>3.21</v>
      </c>
      <c r="R25" s="27">
        <v>19.1</v>
      </c>
      <c r="S25" s="31">
        <v>41041.0</v>
      </c>
    </row>
    <row r="26" ht="15.75" hidden="1" customHeight="1">
      <c r="A26" s="18" t="s">
        <v>44</v>
      </c>
      <c r="B26" s="19" t="s">
        <v>51</v>
      </c>
      <c r="C26" s="20">
        <v>48.2976361</v>
      </c>
      <c r="D26" s="21">
        <v>32299.0</v>
      </c>
      <c r="E26" s="22">
        <v>13960.0</v>
      </c>
      <c r="F26" s="22">
        <v>9125.0</v>
      </c>
      <c r="G26" s="23">
        <f t="shared" si="1"/>
        <v>0.6536532951</v>
      </c>
      <c r="H26" s="23" t="str">
        <f t="shared" si="2"/>
        <v>POOR</v>
      </c>
      <c r="I26" s="20">
        <v>1.8</v>
      </c>
      <c r="J26" s="20">
        <v>120.0</v>
      </c>
      <c r="K26" s="20" t="str">
        <f t="array" ref="K26">IFS(J26&gt;299,"High HP",J26&gt;99,"Medium HP",J26&lt;100,"Low HP")</f>
        <v>Medium HP</v>
      </c>
      <c r="L26" s="20" t="s">
        <v>21</v>
      </c>
      <c r="M26" s="20">
        <v>33.0</v>
      </c>
      <c r="N26" s="20">
        <v>97.1</v>
      </c>
      <c r="O26" s="20">
        <v>66.7</v>
      </c>
      <c r="P26" s="20">
        <v>174.3</v>
      </c>
      <c r="Q26" s="20">
        <v>2.398</v>
      </c>
      <c r="R26" s="20">
        <v>13.2</v>
      </c>
      <c r="S26" s="24">
        <v>40797.0</v>
      </c>
    </row>
    <row r="27" ht="15.75" hidden="1" customHeight="1">
      <c r="A27" s="25" t="s">
        <v>44</v>
      </c>
      <c r="B27" s="26" t="s">
        <v>52</v>
      </c>
      <c r="C27" s="27">
        <v>23.27627233</v>
      </c>
      <c r="D27" s="28">
        <v>21855.0</v>
      </c>
      <c r="E27" s="29">
        <v>9235.0</v>
      </c>
      <c r="F27" s="29">
        <v>5160.0</v>
      </c>
      <c r="G27" s="30">
        <f t="shared" si="1"/>
        <v>0.558743909</v>
      </c>
      <c r="H27" s="30" t="str">
        <f t="shared" si="2"/>
        <v>POOR</v>
      </c>
      <c r="I27" s="27">
        <v>1.0</v>
      </c>
      <c r="J27" s="27">
        <v>55.0</v>
      </c>
      <c r="K27" s="27" t="str">
        <f t="array" ref="K27">IFS(J27&gt;299,"High HP",J27&gt;99,"Medium HP",J27&lt;100,"Low HP")</f>
        <v>Low HP</v>
      </c>
      <c r="L27" s="27" t="s">
        <v>21</v>
      </c>
      <c r="M27" s="27">
        <v>45.0</v>
      </c>
      <c r="N27" s="27">
        <v>93.1</v>
      </c>
      <c r="O27" s="27">
        <v>62.6</v>
      </c>
      <c r="P27" s="27">
        <v>149.4</v>
      </c>
      <c r="Q27" s="27">
        <v>1.895</v>
      </c>
      <c r="R27" s="27">
        <v>10.3</v>
      </c>
      <c r="S27" s="31">
        <v>41012.0</v>
      </c>
    </row>
    <row r="28" ht="15.75" hidden="1" customHeight="1">
      <c r="A28" s="18" t="s">
        <v>44</v>
      </c>
      <c r="B28" s="19" t="s">
        <v>53</v>
      </c>
      <c r="C28" s="20">
        <v>71.83803944</v>
      </c>
      <c r="D28" s="21">
        <v>107995.0</v>
      </c>
      <c r="E28" s="22">
        <v>18890.0</v>
      </c>
      <c r="F28" s="22">
        <v>11550.0</v>
      </c>
      <c r="G28" s="23">
        <f t="shared" si="1"/>
        <v>0.6114346215</v>
      </c>
      <c r="H28" s="23" t="str">
        <f t="shared" si="2"/>
        <v>POOR</v>
      </c>
      <c r="I28" s="20">
        <v>3.4</v>
      </c>
      <c r="J28" s="20">
        <v>180.0</v>
      </c>
      <c r="K28" s="20" t="str">
        <f t="array" ref="K28">IFS(J28&gt;299,"High HP",J28&gt;99,"Medium HP",J28&lt;100,"Low HP")</f>
        <v>Medium HP</v>
      </c>
      <c r="L28" s="20" t="s">
        <v>21</v>
      </c>
      <c r="M28" s="20">
        <v>27.0</v>
      </c>
      <c r="N28" s="20">
        <v>110.5</v>
      </c>
      <c r="O28" s="20">
        <v>73.0</v>
      </c>
      <c r="P28" s="20">
        <v>200.0</v>
      </c>
      <c r="Q28" s="20">
        <v>3.389</v>
      </c>
      <c r="R28" s="20">
        <v>17.0</v>
      </c>
      <c r="S28" s="24">
        <v>40712.0</v>
      </c>
    </row>
    <row r="29" ht="15.75" hidden="1" customHeight="1">
      <c r="A29" s="25" t="s">
        <v>54</v>
      </c>
      <c r="B29" s="26" t="s">
        <v>55</v>
      </c>
      <c r="C29" s="27">
        <v>65.95718396</v>
      </c>
      <c r="D29" s="28">
        <v>7854.0</v>
      </c>
      <c r="E29" s="29">
        <v>19840.0</v>
      </c>
      <c r="F29" s="29">
        <v>12360.0</v>
      </c>
      <c r="G29" s="30">
        <f t="shared" si="1"/>
        <v>0.622983871</v>
      </c>
      <c r="H29" s="30" t="str">
        <f t="shared" si="2"/>
        <v>POOR</v>
      </c>
      <c r="I29" s="27">
        <v>2.5</v>
      </c>
      <c r="J29" s="27">
        <v>163.0</v>
      </c>
      <c r="K29" s="27" t="str">
        <f t="array" ref="K29">IFS(J29&gt;299,"High HP",J29&gt;99,"Medium HP",J29&lt;100,"Low HP")</f>
        <v>Medium HP</v>
      </c>
      <c r="L29" s="27" t="s">
        <v>21</v>
      </c>
      <c r="M29" s="27">
        <v>24.0</v>
      </c>
      <c r="N29" s="27">
        <v>103.7</v>
      </c>
      <c r="O29" s="27">
        <v>69.7</v>
      </c>
      <c r="P29" s="27">
        <v>190.9</v>
      </c>
      <c r="Q29" s="27">
        <v>2.967</v>
      </c>
      <c r="R29" s="27">
        <v>15.9</v>
      </c>
      <c r="S29" s="31">
        <v>40924.0</v>
      </c>
    </row>
    <row r="30" ht="15.75" hidden="1" customHeight="1">
      <c r="A30" s="18" t="s">
        <v>54</v>
      </c>
      <c r="B30" s="19" t="s">
        <v>56</v>
      </c>
      <c r="C30" s="20">
        <v>69.52135505</v>
      </c>
      <c r="D30" s="21">
        <v>32775.0</v>
      </c>
      <c r="E30" s="22">
        <v>24495.0</v>
      </c>
      <c r="F30" s="22">
        <v>14180.0</v>
      </c>
      <c r="G30" s="23">
        <f t="shared" si="1"/>
        <v>0.5788936518</v>
      </c>
      <c r="H30" s="23" t="str">
        <f t="shared" si="2"/>
        <v>POOR</v>
      </c>
      <c r="I30" s="20">
        <v>2.5</v>
      </c>
      <c r="J30" s="20">
        <v>168.0</v>
      </c>
      <c r="K30" s="20" t="str">
        <f t="array" ref="K30">IFS(J30&gt;299,"High HP",J30&gt;99,"Medium HP",J30&lt;100,"Low HP")</f>
        <v>Medium HP</v>
      </c>
      <c r="L30" s="20" t="s">
        <v>21</v>
      </c>
      <c r="M30" s="20">
        <v>24.0</v>
      </c>
      <c r="N30" s="20">
        <v>106.0</v>
      </c>
      <c r="O30" s="20">
        <v>69.2</v>
      </c>
      <c r="P30" s="20">
        <v>193.0</v>
      </c>
      <c r="Q30" s="20">
        <v>3.332</v>
      </c>
      <c r="R30" s="20">
        <v>16.0</v>
      </c>
      <c r="S30" s="24">
        <v>40864.0</v>
      </c>
    </row>
    <row r="31" ht="15.75" hidden="1" customHeight="1">
      <c r="A31" s="25" t="s">
        <v>54</v>
      </c>
      <c r="B31" s="26" t="s">
        <v>57</v>
      </c>
      <c r="C31" s="27">
        <v>80.02378204</v>
      </c>
      <c r="D31" s="28">
        <v>31148.0</v>
      </c>
      <c r="E31" s="29">
        <v>22245.0</v>
      </c>
      <c r="F31" s="29">
        <v>13725.0</v>
      </c>
      <c r="G31" s="30">
        <f t="shared" si="1"/>
        <v>0.6169925826</v>
      </c>
      <c r="H31" s="30" t="str">
        <f t="shared" si="2"/>
        <v>POOR</v>
      </c>
      <c r="I31" s="27">
        <v>2.7</v>
      </c>
      <c r="J31" s="27">
        <v>200.0</v>
      </c>
      <c r="K31" s="27" t="str">
        <f t="array" ref="K31">IFS(J31&gt;299,"High HP",J31&gt;99,"Medium HP",J31&lt;100,"Low HP")</f>
        <v>Medium HP</v>
      </c>
      <c r="L31" s="27" t="s">
        <v>21</v>
      </c>
      <c r="M31" s="27">
        <v>26.0</v>
      </c>
      <c r="N31" s="27">
        <v>113.0</v>
      </c>
      <c r="O31" s="27">
        <v>74.4</v>
      </c>
      <c r="P31" s="27">
        <v>209.1</v>
      </c>
      <c r="Q31" s="27">
        <v>3.452</v>
      </c>
      <c r="R31" s="27">
        <v>17.0</v>
      </c>
      <c r="S31" s="31">
        <v>41066.0</v>
      </c>
    </row>
    <row r="32" ht="15.75" hidden="1" customHeight="1">
      <c r="A32" s="18" t="s">
        <v>54</v>
      </c>
      <c r="B32" s="19" t="s">
        <v>58</v>
      </c>
      <c r="C32" s="20">
        <v>53.56619987</v>
      </c>
      <c r="D32" s="21">
        <v>32305.999999999996</v>
      </c>
      <c r="E32" s="22">
        <v>16480.0</v>
      </c>
      <c r="F32" s="22">
        <v>12640.0</v>
      </c>
      <c r="G32" s="23">
        <f t="shared" si="1"/>
        <v>0.7669902913</v>
      </c>
      <c r="H32" s="23" t="str">
        <f t="shared" si="2"/>
        <v>GOOD</v>
      </c>
      <c r="I32" s="20">
        <v>2.0</v>
      </c>
      <c r="J32" s="20">
        <v>132.0</v>
      </c>
      <c r="K32" s="20" t="str">
        <f t="array" ref="K32">IFS(J32&gt;299,"High HP",J32&gt;99,"Medium HP",J32&lt;100,"Low HP")</f>
        <v>Medium HP</v>
      </c>
      <c r="L32" s="20" t="s">
        <v>21</v>
      </c>
      <c r="M32" s="20">
        <v>27.0</v>
      </c>
      <c r="N32" s="20">
        <v>108.0</v>
      </c>
      <c r="O32" s="20">
        <v>71.0</v>
      </c>
      <c r="P32" s="20">
        <v>186.0</v>
      </c>
      <c r="Q32" s="20">
        <v>2.911</v>
      </c>
      <c r="R32" s="20">
        <v>16.0</v>
      </c>
      <c r="S32" s="24">
        <v>40822.0</v>
      </c>
    </row>
    <row r="33" ht="15.75" hidden="1" customHeight="1">
      <c r="A33" s="25" t="s">
        <v>54</v>
      </c>
      <c r="B33" s="26" t="s">
        <v>59</v>
      </c>
      <c r="C33" s="27">
        <v>101.3292807</v>
      </c>
      <c r="D33" s="28">
        <v>13462.0</v>
      </c>
      <c r="E33" s="29">
        <v>28340.0</v>
      </c>
      <c r="F33" s="29">
        <v>17325.0</v>
      </c>
      <c r="G33" s="30">
        <f t="shared" si="1"/>
        <v>0.6113267466</v>
      </c>
      <c r="H33" s="30" t="str">
        <f t="shared" si="2"/>
        <v>POOR</v>
      </c>
      <c r="I33" s="27">
        <v>3.5</v>
      </c>
      <c r="J33" s="27">
        <v>253.0</v>
      </c>
      <c r="K33" s="27" t="str">
        <f t="array" ref="K33">IFS(J33&gt;299,"High HP",J33&gt;99,"Medium HP",J33&lt;100,"Low HP")</f>
        <v>Medium HP</v>
      </c>
      <c r="L33" s="27" t="s">
        <v>21</v>
      </c>
      <c r="M33" s="27">
        <v>23.0</v>
      </c>
      <c r="N33" s="27">
        <v>113.0</v>
      </c>
      <c r="O33" s="27">
        <v>74.4</v>
      </c>
      <c r="P33" s="27">
        <v>207.7</v>
      </c>
      <c r="Q33" s="27">
        <v>3.564</v>
      </c>
      <c r="R33" s="27">
        <v>17.0</v>
      </c>
      <c r="S33" s="31">
        <v>41037.0</v>
      </c>
    </row>
    <row r="34" ht="15.75" hidden="1" customHeight="1">
      <c r="A34" s="18" t="s">
        <v>54</v>
      </c>
      <c r="B34" s="19" t="s">
        <v>60</v>
      </c>
      <c r="C34" s="20">
        <v>101.6552441</v>
      </c>
      <c r="D34" s="21">
        <v>30696.0</v>
      </c>
      <c r="E34" s="22">
        <v>29185.0</v>
      </c>
      <c r="F34" s="22">
        <v>18425.0</v>
      </c>
      <c r="G34" s="23">
        <f t="shared" si="1"/>
        <v>0.6313174576</v>
      </c>
      <c r="H34" s="23" t="str">
        <f t="shared" si="2"/>
        <v>POOR</v>
      </c>
      <c r="I34" s="20">
        <v>3.5</v>
      </c>
      <c r="J34" s="20">
        <v>253.0</v>
      </c>
      <c r="K34" s="20" t="str">
        <f t="array" ref="K34">IFS(J34&gt;299,"High HP",J34&gt;99,"Medium HP",J34&lt;100,"Low HP")</f>
        <v>Medium HP</v>
      </c>
      <c r="L34" s="20" t="s">
        <v>21</v>
      </c>
      <c r="M34" s="20">
        <v>23.0</v>
      </c>
      <c r="N34" s="20">
        <v>113.0</v>
      </c>
      <c r="O34" s="20">
        <v>74.4</v>
      </c>
      <c r="P34" s="20">
        <v>197.8</v>
      </c>
      <c r="Q34" s="20">
        <v>3.567</v>
      </c>
      <c r="R34" s="20">
        <v>17.0</v>
      </c>
      <c r="S34" s="24">
        <v>40949.0</v>
      </c>
    </row>
    <row r="35" ht="15.75" hidden="1" customHeight="1">
      <c r="A35" s="25" t="s">
        <v>61</v>
      </c>
      <c r="B35" s="26" t="s">
        <v>62</v>
      </c>
      <c r="C35" s="27">
        <v>52.08489875</v>
      </c>
      <c r="D35" s="28">
        <v>76034.0</v>
      </c>
      <c r="E35" s="29">
        <v>12640.0</v>
      </c>
      <c r="F35" s="29">
        <v>7750.0</v>
      </c>
      <c r="G35" s="30">
        <f t="shared" si="1"/>
        <v>0.6131329114</v>
      </c>
      <c r="H35" s="30" t="str">
        <f t="shared" si="2"/>
        <v>POOR</v>
      </c>
      <c r="I35" s="27">
        <v>2.0</v>
      </c>
      <c r="J35" s="27">
        <v>132.0</v>
      </c>
      <c r="K35" s="27" t="str">
        <f t="array" ref="K35">IFS(J35&gt;299,"High HP",J35&gt;99,"Medium HP",J35&lt;100,"Low HP")</f>
        <v>Medium HP</v>
      </c>
      <c r="L35" s="27" t="s">
        <v>21</v>
      </c>
      <c r="M35" s="27">
        <v>29.0</v>
      </c>
      <c r="N35" s="27">
        <v>105.0</v>
      </c>
      <c r="O35" s="27">
        <v>74.4</v>
      </c>
      <c r="P35" s="27">
        <v>174.4</v>
      </c>
      <c r="Q35" s="27">
        <v>2.567</v>
      </c>
      <c r="R35" s="27">
        <v>12.5</v>
      </c>
      <c r="S35" s="31">
        <v>40889.0</v>
      </c>
    </row>
    <row r="36" ht="15.75" hidden="1" customHeight="1">
      <c r="A36" s="18" t="s">
        <v>61</v>
      </c>
      <c r="B36" s="19" t="s">
        <v>63</v>
      </c>
      <c r="C36" s="20">
        <v>65.65050834</v>
      </c>
      <c r="D36" s="21">
        <v>4734.0</v>
      </c>
      <c r="E36" s="22">
        <v>19045.0</v>
      </c>
      <c r="F36" s="22">
        <v>12545.0</v>
      </c>
      <c r="G36" s="23">
        <f t="shared" si="1"/>
        <v>0.6587030717</v>
      </c>
      <c r="H36" s="23" t="str">
        <f t="shared" si="2"/>
        <v>POOR</v>
      </c>
      <c r="I36" s="20">
        <v>2.5</v>
      </c>
      <c r="J36" s="20">
        <v>163.0</v>
      </c>
      <c r="K36" s="20" t="str">
        <f t="array" ref="K36">IFS(J36&gt;299,"High HP",J36&gt;99,"Medium HP",J36&lt;100,"Low HP")</f>
        <v>Medium HP</v>
      </c>
      <c r="L36" s="20" t="s">
        <v>21</v>
      </c>
      <c r="M36" s="20">
        <v>24.0</v>
      </c>
      <c r="N36" s="20">
        <v>103.7</v>
      </c>
      <c r="O36" s="20">
        <v>69.1</v>
      </c>
      <c r="P36" s="20">
        <v>190.2</v>
      </c>
      <c r="Q36" s="20">
        <v>2.879</v>
      </c>
      <c r="R36" s="20">
        <v>15.9</v>
      </c>
      <c r="S36" s="24">
        <v>41091.0</v>
      </c>
    </row>
    <row r="37" ht="15.75" hidden="1" customHeight="1">
      <c r="A37" s="25" t="s">
        <v>61</v>
      </c>
      <c r="B37" s="26" t="s">
        <v>64</v>
      </c>
      <c r="C37" s="27">
        <v>67.87610784</v>
      </c>
      <c r="D37" s="28">
        <v>71186.0</v>
      </c>
      <c r="E37" s="29">
        <v>20230.0</v>
      </c>
      <c r="F37" s="29">
        <v>10185.0</v>
      </c>
      <c r="G37" s="30">
        <f t="shared" si="1"/>
        <v>0.5034602076</v>
      </c>
      <c r="H37" s="30" t="str">
        <f t="shared" si="2"/>
        <v>POOR</v>
      </c>
      <c r="I37" s="27">
        <v>2.5</v>
      </c>
      <c r="J37" s="27">
        <v>168.0</v>
      </c>
      <c r="K37" s="27" t="str">
        <f t="array" ref="K37">IFS(J37&gt;299,"High HP",J37&gt;99,"Medium HP",J37&lt;100,"Low HP")</f>
        <v>Medium HP</v>
      </c>
      <c r="L37" s="27" t="s">
        <v>21</v>
      </c>
      <c r="M37" s="27">
        <v>24.0</v>
      </c>
      <c r="N37" s="27">
        <v>108.0</v>
      </c>
      <c r="O37" s="27">
        <v>71.0</v>
      </c>
      <c r="P37" s="27">
        <v>186.0</v>
      </c>
      <c r="Q37" s="27">
        <v>3.058</v>
      </c>
      <c r="R37" s="27">
        <v>16.0</v>
      </c>
      <c r="S37" s="31">
        <v>40847.0</v>
      </c>
    </row>
    <row r="38" ht="15.75" hidden="1" customHeight="1">
      <c r="A38" s="18" t="s">
        <v>61</v>
      </c>
      <c r="B38" s="19" t="s">
        <v>65</v>
      </c>
      <c r="C38" s="20">
        <v>80.83147017</v>
      </c>
      <c r="D38" s="21">
        <v>88028.0</v>
      </c>
      <c r="E38" s="22">
        <v>22505.0</v>
      </c>
      <c r="F38" s="22">
        <v>12275.0</v>
      </c>
      <c r="G38" s="23">
        <f t="shared" si="1"/>
        <v>0.5454343479</v>
      </c>
      <c r="H38" s="23" t="str">
        <f t="shared" si="2"/>
        <v>POOR</v>
      </c>
      <c r="I38" s="20">
        <v>2.7</v>
      </c>
      <c r="J38" s="20">
        <v>202.0</v>
      </c>
      <c r="K38" s="20" t="str">
        <f t="array" ref="K38">IFS(J38&gt;299,"High HP",J38&gt;99,"Medium HP",J38&lt;100,"Low HP")</f>
        <v>Medium HP</v>
      </c>
      <c r="L38" s="20" t="s">
        <v>21</v>
      </c>
      <c r="M38" s="20">
        <v>22.0</v>
      </c>
      <c r="N38" s="20">
        <v>113.0</v>
      </c>
      <c r="O38" s="20">
        <v>74.7</v>
      </c>
      <c r="P38" s="20">
        <v>203.7</v>
      </c>
      <c r="Q38" s="20">
        <v>3.489</v>
      </c>
      <c r="R38" s="20">
        <v>17.0</v>
      </c>
      <c r="S38" s="24">
        <v>41062.0</v>
      </c>
    </row>
    <row r="39" ht="15.75" hidden="1" customHeight="1">
      <c r="A39" s="25" t="s">
        <v>61</v>
      </c>
      <c r="B39" s="26" t="s">
        <v>66</v>
      </c>
      <c r="C39" s="27">
        <v>188.144323</v>
      </c>
      <c r="D39" s="28">
        <v>916.0</v>
      </c>
      <c r="E39" s="29">
        <v>69725.0</v>
      </c>
      <c r="F39" s="29">
        <v>58470.0</v>
      </c>
      <c r="G39" s="30">
        <f t="shared" si="1"/>
        <v>0.8385801362</v>
      </c>
      <c r="H39" s="30" t="str">
        <f t="shared" si="2"/>
        <v>GOOD</v>
      </c>
      <c r="I39" s="27">
        <v>8.0</v>
      </c>
      <c r="J39" s="27">
        <v>450.0</v>
      </c>
      <c r="K39" s="27" t="str">
        <f t="array" ref="K39">IFS(J39&gt;299,"High HP",J39&gt;99,"Medium HP",J39&lt;100,"Low HP")</f>
        <v>High HP</v>
      </c>
      <c r="L39" s="27" t="s">
        <v>21</v>
      </c>
      <c r="M39" s="27">
        <v>16.0</v>
      </c>
      <c r="N39" s="27">
        <v>96.2</v>
      </c>
      <c r="O39" s="27">
        <v>75.7</v>
      </c>
      <c r="P39" s="27">
        <v>176.7</v>
      </c>
      <c r="Q39" s="27">
        <v>3.375</v>
      </c>
      <c r="R39" s="27">
        <v>19.0</v>
      </c>
      <c r="S39" s="31">
        <v>40762.0</v>
      </c>
    </row>
    <row r="40" ht="15.75" hidden="1" customHeight="1">
      <c r="A40" s="18" t="s">
        <v>61</v>
      </c>
      <c r="B40" s="19" t="s">
        <v>67</v>
      </c>
      <c r="C40" s="20">
        <v>90.21170005</v>
      </c>
      <c r="D40" s="21">
        <v>227061.0</v>
      </c>
      <c r="E40" s="22">
        <v>19460.0</v>
      </c>
      <c r="F40" s="22">
        <v>15060.0</v>
      </c>
      <c r="G40" s="23">
        <f t="shared" si="1"/>
        <v>0.7738951696</v>
      </c>
      <c r="H40" s="23" t="str">
        <f t="shared" si="2"/>
        <v>GOOD</v>
      </c>
      <c r="I40" s="20">
        <v>5.2</v>
      </c>
      <c r="J40" s="20">
        <v>230.0</v>
      </c>
      <c r="K40" s="20" t="str">
        <f t="array" ref="K40">IFS(J40&gt;299,"High HP",J40&gt;99,"Medium HP",J40&lt;100,"Low HP")</f>
        <v>Medium HP</v>
      </c>
      <c r="L40" s="20" t="s">
        <v>43</v>
      </c>
      <c r="M40" s="20">
        <v>17.0</v>
      </c>
      <c r="N40" s="20">
        <v>138.7</v>
      </c>
      <c r="O40" s="20">
        <v>79.3</v>
      </c>
      <c r="P40" s="20">
        <v>224.2</v>
      </c>
      <c r="Q40" s="20">
        <v>4.47</v>
      </c>
      <c r="R40" s="20">
        <v>26.0</v>
      </c>
      <c r="S40" s="24">
        <v>40974.0</v>
      </c>
    </row>
    <row r="41" ht="15.75" hidden="1" customHeight="1">
      <c r="A41" s="25" t="s">
        <v>61</v>
      </c>
      <c r="B41" s="26" t="s">
        <v>68</v>
      </c>
      <c r="C41" s="27">
        <v>71.13529161</v>
      </c>
      <c r="D41" s="28">
        <v>16767.0</v>
      </c>
      <c r="E41" s="29">
        <v>21315.0</v>
      </c>
      <c r="F41" s="29">
        <v>15510.0</v>
      </c>
      <c r="G41" s="30">
        <f t="shared" si="1"/>
        <v>0.7276565799</v>
      </c>
      <c r="H41" s="30" t="str">
        <f t="shared" si="2"/>
        <v>GOOD</v>
      </c>
      <c r="I41" s="27">
        <v>3.9</v>
      </c>
      <c r="J41" s="27">
        <v>175.0</v>
      </c>
      <c r="K41" s="27" t="str">
        <f t="array" ref="K41">IFS(J41&gt;299,"High HP",J41&gt;99,"Medium HP",J41&lt;100,"Low HP")</f>
        <v>Medium HP</v>
      </c>
      <c r="L41" s="27" t="s">
        <v>43</v>
      </c>
      <c r="M41" s="27">
        <v>15.0</v>
      </c>
      <c r="N41" s="27">
        <v>109.6</v>
      </c>
      <c r="O41" s="27">
        <v>78.8</v>
      </c>
      <c r="P41" s="27">
        <v>192.6</v>
      </c>
      <c r="Q41" s="27">
        <v>4.245</v>
      </c>
      <c r="R41" s="27">
        <v>32.0</v>
      </c>
      <c r="S41" s="31">
        <v>40914.0</v>
      </c>
    </row>
    <row r="42" ht="15.75" hidden="1" customHeight="1">
      <c r="A42" s="18" t="s">
        <v>61</v>
      </c>
      <c r="B42" s="19" t="s">
        <v>69</v>
      </c>
      <c r="C42" s="20">
        <v>70.07832154</v>
      </c>
      <c r="D42" s="21">
        <v>31038.0</v>
      </c>
      <c r="E42" s="22">
        <v>18575.0</v>
      </c>
      <c r="F42" s="22">
        <v>13425.0</v>
      </c>
      <c r="G42" s="23">
        <f t="shared" si="1"/>
        <v>0.7227456258</v>
      </c>
      <c r="H42" s="23" t="str">
        <f t="shared" si="2"/>
        <v>GOOD</v>
      </c>
      <c r="I42" s="20">
        <v>3.9</v>
      </c>
      <c r="J42" s="20">
        <v>175.0</v>
      </c>
      <c r="K42" s="20" t="str">
        <f t="array" ref="K42">IFS(J42&gt;299,"High HP",J42&gt;99,"Medium HP",J42&lt;100,"Low HP")</f>
        <v>Medium HP</v>
      </c>
      <c r="L42" s="20" t="s">
        <v>43</v>
      </c>
      <c r="M42" s="20">
        <v>16.0</v>
      </c>
      <c r="N42" s="20">
        <v>127.2</v>
      </c>
      <c r="O42" s="20">
        <v>78.8</v>
      </c>
      <c r="P42" s="20">
        <v>208.5</v>
      </c>
      <c r="Q42" s="20">
        <v>4.298</v>
      </c>
      <c r="R42" s="20">
        <v>32.0</v>
      </c>
      <c r="S42" s="24">
        <v>41116.0</v>
      </c>
    </row>
    <row r="43" ht="15.75" hidden="1" customHeight="1">
      <c r="A43" s="25" t="s">
        <v>61</v>
      </c>
      <c r="B43" s="26" t="s">
        <v>70</v>
      </c>
      <c r="C43" s="27">
        <v>49.64500177</v>
      </c>
      <c r="D43" s="28">
        <v>111313.0</v>
      </c>
      <c r="E43" s="29">
        <v>16980.0</v>
      </c>
      <c r="F43" s="29">
        <v>11260.0</v>
      </c>
      <c r="G43" s="30">
        <f t="shared" si="1"/>
        <v>0.6631330978</v>
      </c>
      <c r="H43" s="30" t="str">
        <f t="shared" si="2"/>
        <v>POOR</v>
      </c>
      <c r="I43" s="27">
        <v>2.5</v>
      </c>
      <c r="J43" s="27">
        <v>120.0</v>
      </c>
      <c r="K43" s="27" t="str">
        <f t="array" ref="K43">IFS(J43&gt;299,"High HP",J43&gt;99,"Medium HP",J43&lt;100,"Low HP")</f>
        <v>Medium HP</v>
      </c>
      <c r="L43" s="27" t="s">
        <v>43</v>
      </c>
      <c r="M43" s="27">
        <v>19.0</v>
      </c>
      <c r="N43" s="27">
        <v>131.0</v>
      </c>
      <c r="O43" s="27">
        <v>71.5</v>
      </c>
      <c r="P43" s="27">
        <v>215.0</v>
      </c>
      <c r="Q43" s="27">
        <v>3.557</v>
      </c>
      <c r="R43" s="27">
        <v>22.0</v>
      </c>
      <c r="S43" s="31">
        <v>40872.0</v>
      </c>
    </row>
    <row r="44" ht="15.75" hidden="1" customHeight="1">
      <c r="A44" s="18" t="s">
        <v>61</v>
      </c>
      <c r="B44" s="19" t="s">
        <v>71</v>
      </c>
      <c r="C44" s="20">
        <v>92.85412522</v>
      </c>
      <c r="D44" s="21">
        <v>101323.0</v>
      </c>
      <c r="E44" s="22">
        <v>26310.0</v>
      </c>
      <c r="F44" s="22">
        <v>21436.0</v>
      </c>
      <c r="G44" s="23">
        <f t="shared" si="1"/>
        <v>0.8147472444</v>
      </c>
      <c r="H44" s="23" t="str">
        <f t="shared" si="2"/>
        <v>GOOD</v>
      </c>
      <c r="I44" s="20">
        <v>5.2</v>
      </c>
      <c r="J44" s="20">
        <v>230.0</v>
      </c>
      <c r="K44" s="20" t="str">
        <f t="array" ref="K44">IFS(J44&gt;299,"High HP",J44&gt;99,"Medium HP",J44&lt;100,"Low HP")</f>
        <v>Medium HP</v>
      </c>
      <c r="L44" s="20" t="s">
        <v>43</v>
      </c>
      <c r="M44" s="20">
        <v>17.0</v>
      </c>
      <c r="N44" s="20">
        <v>115.7</v>
      </c>
      <c r="O44" s="20">
        <v>71.7</v>
      </c>
      <c r="P44" s="20">
        <v>193.5</v>
      </c>
      <c r="Q44" s="20">
        <v>4.394</v>
      </c>
      <c r="R44" s="20">
        <v>25.0</v>
      </c>
      <c r="S44" s="24">
        <v>41087.0</v>
      </c>
    </row>
    <row r="45" ht="15.75" hidden="1" customHeight="1">
      <c r="A45" s="25" t="s">
        <v>61</v>
      </c>
      <c r="B45" s="26" t="s">
        <v>72</v>
      </c>
      <c r="C45" s="27">
        <v>61.22700031</v>
      </c>
      <c r="D45" s="28">
        <v>181749.0</v>
      </c>
      <c r="E45" s="29">
        <v>19565.0</v>
      </c>
      <c r="F45" s="29">
        <v>12025.0</v>
      </c>
      <c r="G45" s="30">
        <f t="shared" si="1"/>
        <v>0.6146179402</v>
      </c>
      <c r="H45" s="30" t="str">
        <f t="shared" si="2"/>
        <v>POOR</v>
      </c>
      <c r="I45" s="27">
        <v>2.4</v>
      </c>
      <c r="J45" s="27">
        <v>150.0</v>
      </c>
      <c r="K45" s="27" t="str">
        <f t="array" ref="K45">IFS(J45&gt;299,"High HP",J45&gt;99,"Medium HP",J45&lt;100,"Low HP")</f>
        <v>Medium HP</v>
      </c>
      <c r="L45" s="27" t="s">
        <v>43</v>
      </c>
      <c r="M45" s="27">
        <v>24.0</v>
      </c>
      <c r="N45" s="27">
        <v>113.3</v>
      </c>
      <c r="O45" s="27">
        <v>76.8</v>
      </c>
      <c r="P45" s="27">
        <v>186.3</v>
      </c>
      <c r="Q45" s="27">
        <v>3.533</v>
      </c>
      <c r="R45" s="27">
        <v>20.0</v>
      </c>
      <c r="S45" s="31">
        <v>40787.0</v>
      </c>
    </row>
    <row r="46" ht="15.75" hidden="1" customHeight="1">
      <c r="A46" s="18" t="s">
        <v>73</v>
      </c>
      <c r="B46" s="19" t="s">
        <v>74</v>
      </c>
      <c r="C46" s="20">
        <v>44.08370946</v>
      </c>
      <c r="D46" s="21">
        <v>70227.0</v>
      </c>
      <c r="E46" s="22">
        <v>12070.0</v>
      </c>
      <c r="F46" s="22">
        <v>7425.0</v>
      </c>
      <c r="G46" s="23">
        <f t="shared" si="1"/>
        <v>0.6151615576</v>
      </c>
      <c r="H46" s="23" t="str">
        <f t="shared" si="2"/>
        <v>POOR</v>
      </c>
      <c r="I46" s="20">
        <v>2.0</v>
      </c>
      <c r="J46" s="20">
        <v>110.0</v>
      </c>
      <c r="K46" s="20" t="str">
        <f t="array" ref="K46">IFS(J46&gt;299,"High HP",J46&gt;99,"Medium HP",J46&lt;100,"Low HP")</f>
        <v>Medium HP</v>
      </c>
      <c r="L46" s="20" t="s">
        <v>21</v>
      </c>
      <c r="M46" s="20">
        <v>30.0</v>
      </c>
      <c r="N46" s="20">
        <v>98.4</v>
      </c>
      <c r="O46" s="20">
        <v>67.0</v>
      </c>
      <c r="P46" s="20">
        <v>174.7</v>
      </c>
      <c r="Q46" s="20">
        <v>2.468</v>
      </c>
      <c r="R46" s="20">
        <v>12.7</v>
      </c>
      <c r="S46" s="24">
        <v>40999.0</v>
      </c>
    </row>
    <row r="47" ht="15.75" hidden="1" customHeight="1">
      <c r="A47" s="25" t="s">
        <v>73</v>
      </c>
      <c r="B47" s="26" t="s">
        <v>75</v>
      </c>
      <c r="C47" s="27">
        <v>76.50918456</v>
      </c>
      <c r="D47" s="28">
        <v>113369.0</v>
      </c>
      <c r="E47" s="29">
        <v>21560.0</v>
      </c>
      <c r="F47" s="29">
        <v>12760.0</v>
      </c>
      <c r="G47" s="30">
        <f t="shared" si="1"/>
        <v>0.5918367347</v>
      </c>
      <c r="H47" s="30" t="str">
        <f t="shared" si="2"/>
        <v>POOR</v>
      </c>
      <c r="I47" s="27">
        <v>3.8</v>
      </c>
      <c r="J47" s="27">
        <v>190.0</v>
      </c>
      <c r="K47" s="27" t="str">
        <f t="array" ref="K47">IFS(J47&gt;299,"High HP",J47&gt;99,"Medium HP",J47&lt;100,"Low HP")</f>
        <v>Medium HP</v>
      </c>
      <c r="L47" s="27" t="s">
        <v>21</v>
      </c>
      <c r="M47" s="27">
        <v>24.0</v>
      </c>
      <c r="N47" s="27">
        <v>101.3</v>
      </c>
      <c r="O47" s="27">
        <v>73.1</v>
      </c>
      <c r="P47" s="27">
        <v>183.2</v>
      </c>
      <c r="Q47" s="27">
        <v>3.203</v>
      </c>
      <c r="R47" s="27">
        <v>15.7</v>
      </c>
      <c r="S47" s="31">
        <v>40939.0</v>
      </c>
    </row>
    <row r="48" ht="15.75" hidden="1" customHeight="1">
      <c r="A48" s="18" t="s">
        <v>73</v>
      </c>
      <c r="B48" s="19" t="s">
        <v>76</v>
      </c>
      <c r="C48" s="20">
        <v>67.35101072</v>
      </c>
      <c r="D48" s="21">
        <v>35068.0</v>
      </c>
      <c r="E48" s="22">
        <v>17035.0</v>
      </c>
      <c r="F48" s="22">
        <v>8835.0</v>
      </c>
      <c r="G48" s="23">
        <f t="shared" si="1"/>
        <v>0.518638098</v>
      </c>
      <c r="H48" s="23" t="str">
        <f t="shared" si="2"/>
        <v>POOR</v>
      </c>
      <c r="I48" s="20">
        <v>2.5</v>
      </c>
      <c r="J48" s="20">
        <v>170.0</v>
      </c>
      <c r="K48" s="20" t="str">
        <f t="array" ref="K48">IFS(J48&gt;299,"High HP",J48&gt;99,"Medium HP",J48&lt;100,"Low HP")</f>
        <v>Medium HP</v>
      </c>
      <c r="L48" s="20" t="s">
        <v>21</v>
      </c>
      <c r="M48" s="20">
        <v>25.0</v>
      </c>
      <c r="N48" s="20">
        <v>106.5</v>
      </c>
      <c r="O48" s="20">
        <v>69.1</v>
      </c>
      <c r="P48" s="20">
        <v>184.6</v>
      </c>
      <c r="Q48" s="20">
        <v>2.769</v>
      </c>
      <c r="R48" s="20">
        <v>15.0</v>
      </c>
      <c r="S48" s="24">
        <v>41141.0</v>
      </c>
    </row>
    <row r="49" ht="15.75" hidden="1" customHeight="1">
      <c r="A49" s="25" t="s">
        <v>73</v>
      </c>
      <c r="B49" s="26" t="s">
        <v>77</v>
      </c>
      <c r="C49" s="27">
        <v>62.5037395</v>
      </c>
      <c r="D49" s="28">
        <v>245815.0</v>
      </c>
      <c r="E49" s="29">
        <v>17885.0</v>
      </c>
      <c r="F49" s="29">
        <v>10055.0</v>
      </c>
      <c r="G49" s="30">
        <f t="shared" si="1"/>
        <v>0.5622029634</v>
      </c>
      <c r="H49" s="30" t="str">
        <f t="shared" si="2"/>
        <v>POOR</v>
      </c>
      <c r="I49" s="27">
        <v>3.0</v>
      </c>
      <c r="J49" s="27">
        <v>155.0</v>
      </c>
      <c r="K49" s="27" t="str">
        <f t="array" ref="K49">IFS(J49&gt;299,"High HP",J49&gt;99,"Medium HP",J49&lt;100,"Low HP")</f>
        <v>Medium HP</v>
      </c>
      <c r="L49" s="27" t="s">
        <v>21</v>
      </c>
      <c r="M49" s="27">
        <v>24.0</v>
      </c>
      <c r="N49" s="27">
        <v>108.5</v>
      </c>
      <c r="O49" s="27">
        <v>73.0</v>
      </c>
      <c r="P49" s="27">
        <v>197.6</v>
      </c>
      <c r="Q49" s="27">
        <v>3.368</v>
      </c>
      <c r="R49" s="27">
        <v>16.0</v>
      </c>
      <c r="S49" s="31">
        <v>40897.0</v>
      </c>
    </row>
    <row r="50" ht="15.75" hidden="1" customHeight="1">
      <c r="A50" s="18" t="s">
        <v>73</v>
      </c>
      <c r="B50" s="19" t="s">
        <v>78</v>
      </c>
      <c r="C50" s="20">
        <v>43.11713201</v>
      </c>
      <c r="D50" s="21">
        <v>175670.0</v>
      </c>
      <c r="E50" s="22">
        <v>12315.0</v>
      </c>
      <c r="F50" s="22">
        <v>8670.0</v>
      </c>
      <c r="G50" s="23">
        <f t="shared" si="1"/>
        <v>0.7040194884</v>
      </c>
      <c r="H50" s="23" t="str">
        <f t="shared" si="2"/>
        <v>GOOD</v>
      </c>
      <c r="I50" s="20">
        <v>2.0</v>
      </c>
      <c r="J50" s="20">
        <v>107.0</v>
      </c>
      <c r="K50" s="20" t="str">
        <f t="array" ref="K50">IFS(J50&gt;299,"High HP",J50&gt;99,"Medium HP",J50&lt;100,"Low HP")</f>
        <v>Medium HP</v>
      </c>
      <c r="L50" s="20" t="s">
        <v>21</v>
      </c>
      <c r="M50" s="20">
        <v>30.0</v>
      </c>
      <c r="N50" s="20">
        <v>103.0</v>
      </c>
      <c r="O50" s="20">
        <v>66.9</v>
      </c>
      <c r="P50" s="20">
        <v>174.8</v>
      </c>
      <c r="Q50" s="20">
        <v>2.564</v>
      </c>
      <c r="R50" s="20">
        <v>13.2</v>
      </c>
      <c r="S50" s="24">
        <v>41112.0</v>
      </c>
    </row>
    <row r="51" ht="15.75" hidden="1" customHeight="1">
      <c r="A51" s="25" t="s">
        <v>73</v>
      </c>
      <c r="B51" s="26" t="s">
        <v>79</v>
      </c>
      <c r="C51" s="27">
        <v>80.49953671</v>
      </c>
      <c r="D51" s="28">
        <v>63403.0</v>
      </c>
      <c r="E51" s="29">
        <v>22195.0</v>
      </c>
      <c r="F51" s="29">
        <v>14210.0</v>
      </c>
      <c r="G51" s="30">
        <f t="shared" si="1"/>
        <v>0.640234287</v>
      </c>
      <c r="H51" s="30" t="str">
        <f t="shared" si="2"/>
        <v>POOR</v>
      </c>
      <c r="I51" s="27">
        <v>4.6</v>
      </c>
      <c r="J51" s="27">
        <v>200.0</v>
      </c>
      <c r="K51" s="27" t="str">
        <f t="array" ref="K51">IFS(J51&gt;299,"High HP",J51&gt;99,"Medium HP",J51&lt;100,"Low HP")</f>
        <v>Medium HP</v>
      </c>
      <c r="L51" s="27" t="s">
        <v>21</v>
      </c>
      <c r="M51" s="27">
        <v>21.0</v>
      </c>
      <c r="N51" s="27">
        <v>114.7</v>
      </c>
      <c r="O51" s="27">
        <v>78.2</v>
      </c>
      <c r="P51" s="27">
        <v>212.0</v>
      </c>
      <c r="Q51" s="27">
        <v>3.908</v>
      </c>
      <c r="R51" s="27">
        <v>19.0</v>
      </c>
      <c r="S51" s="31">
        <v>40812.0</v>
      </c>
    </row>
    <row r="52" ht="15.75" hidden="1" customHeight="1">
      <c r="A52" s="18" t="s">
        <v>73</v>
      </c>
      <c r="B52" s="19" t="s">
        <v>80</v>
      </c>
      <c r="C52" s="20">
        <v>87.63549578</v>
      </c>
      <c r="D52" s="21">
        <v>276747.0</v>
      </c>
      <c r="E52" s="22">
        <v>31930.0</v>
      </c>
      <c r="F52" s="22">
        <v>16640.0</v>
      </c>
      <c r="G52" s="23">
        <f t="shared" si="1"/>
        <v>0.5211399937</v>
      </c>
      <c r="H52" s="23" t="str">
        <f t="shared" si="2"/>
        <v>POOR</v>
      </c>
      <c r="I52" s="20">
        <v>4.0</v>
      </c>
      <c r="J52" s="20">
        <v>210.0</v>
      </c>
      <c r="K52" s="20" t="str">
        <f t="array" ref="K52">IFS(J52&gt;299,"High HP",J52&gt;99,"Medium HP",J52&lt;100,"Low HP")</f>
        <v>Medium HP</v>
      </c>
      <c r="L52" s="20" t="s">
        <v>43</v>
      </c>
      <c r="M52" s="20">
        <v>19.0</v>
      </c>
      <c r="N52" s="20">
        <v>111.6</v>
      </c>
      <c r="O52" s="20">
        <v>70.2</v>
      </c>
      <c r="P52" s="20">
        <v>190.7</v>
      </c>
      <c r="Q52" s="20">
        <v>3.876</v>
      </c>
      <c r="R52" s="20">
        <v>21.0</v>
      </c>
      <c r="S52" s="24">
        <v>41024.0</v>
      </c>
    </row>
    <row r="53" ht="15.75" hidden="1" customHeight="1">
      <c r="A53" s="25" t="s">
        <v>73</v>
      </c>
      <c r="B53" s="26" t="s">
        <v>81</v>
      </c>
      <c r="C53" s="27">
        <v>62.09504839</v>
      </c>
      <c r="D53" s="28">
        <v>155787.0</v>
      </c>
      <c r="E53" s="29">
        <v>21410.0</v>
      </c>
      <c r="F53" s="29">
        <v>13175.0</v>
      </c>
      <c r="G53" s="30">
        <f t="shared" si="1"/>
        <v>0.6153666511</v>
      </c>
      <c r="H53" s="30" t="str">
        <f t="shared" si="2"/>
        <v>POOR</v>
      </c>
      <c r="I53" s="27">
        <v>3.0</v>
      </c>
      <c r="J53" s="27">
        <v>150.0</v>
      </c>
      <c r="K53" s="27" t="str">
        <f t="array" ref="K53">IFS(J53&gt;299,"High HP",J53&gt;99,"Medium HP",J53&lt;100,"Low HP")</f>
        <v>Medium HP</v>
      </c>
      <c r="L53" s="27" t="s">
        <v>43</v>
      </c>
      <c r="M53" s="27">
        <v>21.0</v>
      </c>
      <c r="N53" s="27">
        <v>120.7</v>
      </c>
      <c r="O53" s="27">
        <v>76.6</v>
      </c>
      <c r="P53" s="27">
        <v>200.9</v>
      </c>
      <c r="Q53" s="27">
        <v>3.761</v>
      </c>
      <c r="R53" s="27">
        <v>26.0</v>
      </c>
      <c r="S53" s="31">
        <v>40964.0</v>
      </c>
    </row>
    <row r="54" ht="15.75" hidden="1" customHeight="1">
      <c r="A54" s="18" t="s">
        <v>73</v>
      </c>
      <c r="B54" s="19" t="s">
        <v>82</v>
      </c>
      <c r="C54" s="20">
        <v>100.0248023</v>
      </c>
      <c r="D54" s="21">
        <v>125338.0</v>
      </c>
      <c r="E54" s="22">
        <v>36135.0</v>
      </c>
      <c r="F54" s="22">
        <v>23575.0</v>
      </c>
      <c r="G54" s="23">
        <f t="shared" si="1"/>
        <v>0.6524145565</v>
      </c>
      <c r="H54" s="23" t="str">
        <f t="shared" si="2"/>
        <v>POOR</v>
      </c>
      <c r="I54" s="20">
        <v>4.6</v>
      </c>
      <c r="J54" s="20">
        <v>240.0</v>
      </c>
      <c r="K54" s="20" t="str">
        <f t="array" ref="K54">IFS(J54&gt;299,"High HP",J54&gt;99,"Medium HP",J54&lt;100,"Low HP")</f>
        <v>Medium HP</v>
      </c>
      <c r="L54" s="20" t="s">
        <v>43</v>
      </c>
      <c r="M54" s="20">
        <v>16.0</v>
      </c>
      <c r="N54" s="20">
        <v>119.0</v>
      </c>
      <c r="O54" s="20">
        <v>78.7</v>
      </c>
      <c r="P54" s="20">
        <v>204.6</v>
      </c>
      <c r="Q54" s="20">
        <v>4.808</v>
      </c>
      <c r="R54" s="20">
        <v>26.0</v>
      </c>
      <c r="S54" s="24">
        <v>41166.0</v>
      </c>
    </row>
    <row r="55" ht="15.75" hidden="1" customHeight="1">
      <c r="A55" s="25" t="s">
        <v>73</v>
      </c>
      <c r="B55" s="26" t="s">
        <v>83</v>
      </c>
      <c r="C55" s="27">
        <v>47.38953131</v>
      </c>
      <c r="D55" s="28">
        <v>220650.0</v>
      </c>
      <c r="E55" s="29">
        <v>12050.0</v>
      </c>
      <c r="F55" s="29">
        <v>7850.0</v>
      </c>
      <c r="G55" s="30">
        <f t="shared" si="1"/>
        <v>0.6514522822</v>
      </c>
      <c r="H55" s="30" t="str">
        <f t="shared" si="2"/>
        <v>POOR</v>
      </c>
      <c r="I55" s="27">
        <v>2.5</v>
      </c>
      <c r="J55" s="27">
        <v>119.0</v>
      </c>
      <c r="K55" s="27" t="str">
        <f t="array" ref="K55">IFS(J55&gt;299,"High HP",J55&gt;99,"Medium HP",J55&lt;100,"Low HP")</f>
        <v>Medium HP</v>
      </c>
      <c r="L55" s="27" t="s">
        <v>43</v>
      </c>
      <c r="M55" s="27">
        <v>23.0</v>
      </c>
      <c r="N55" s="27">
        <v>117.5</v>
      </c>
      <c r="O55" s="27">
        <v>69.4</v>
      </c>
      <c r="P55" s="27">
        <v>200.7</v>
      </c>
      <c r="Q55" s="27">
        <v>3.086</v>
      </c>
      <c r="R55" s="27">
        <v>20.0</v>
      </c>
      <c r="S55" s="31">
        <v>40922.0</v>
      </c>
    </row>
    <row r="56" ht="15.75" hidden="1" customHeight="1">
      <c r="A56" s="18" t="s">
        <v>73</v>
      </c>
      <c r="B56" s="19" t="s">
        <v>84</v>
      </c>
      <c r="C56" s="20">
        <v>89.40193473</v>
      </c>
      <c r="D56" s="21">
        <v>540561.0</v>
      </c>
      <c r="E56" s="22">
        <v>26935.0</v>
      </c>
      <c r="F56" s="22">
        <v>15075.0</v>
      </c>
      <c r="G56" s="23">
        <f t="shared" si="1"/>
        <v>0.5596807128</v>
      </c>
      <c r="H56" s="23" t="str">
        <f t="shared" si="2"/>
        <v>POOR</v>
      </c>
      <c r="I56" s="20">
        <v>4.6</v>
      </c>
      <c r="J56" s="20">
        <v>220.0</v>
      </c>
      <c r="K56" s="20" t="str">
        <f t="array" ref="K56">IFS(J56&gt;299,"High HP",J56&gt;99,"Medium HP",J56&lt;100,"Low HP")</f>
        <v>Medium HP</v>
      </c>
      <c r="L56" s="20" t="s">
        <v>43</v>
      </c>
      <c r="M56" s="20">
        <v>18.0</v>
      </c>
      <c r="N56" s="20">
        <v>138.5</v>
      </c>
      <c r="O56" s="20">
        <v>79.1</v>
      </c>
      <c r="P56" s="20">
        <v>224.5</v>
      </c>
      <c r="Q56" s="20">
        <v>4.241</v>
      </c>
      <c r="R56" s="20">
        <v>25.1</v>
      </c>
      <c r="S56" s="24">
        <v>41137.0</v>
      </c>
    </row>
    <row r="57" ht="15.75" hidden="1" customHeight="1">
      <c r="A57" s="25" t="s">
        <v>85</v>
      </c>
      <c r="B57" s="26" t="s">
        <v>86</v>
      </c>
      <c r="C57" s="27">
        <v>42.87909734</v>
      </c>
      <c r="D57" s="28">
        <v>199685.0</v>
      </c>
      <c r="E57" s="29">
        <v>12885.0</v>
      </c>
      <c r="F57" s="29">
        <v>9850.0</v>
      </c>
      <c r="G57" s="30">
        <f t="shared" si="1"/>
        <v>0.7644547924</v>
      </c>
      <c r="H57" s="30" t="str">
        <f t="shared" si="2"/>
        <v>GOOD</v>
      </c>
      <c r="I57" s="27">
        <v>1.6</v>
      </c>
      <c r="J57" s="27">
        <v>106.0</v>
      </c>
      <c r="K57" s="27" t="str">
        <f t="array" ref="K57">IFS(J57&gt;299,"High HP",J57&gt;99,"Medium HP",J57&lt;100,"Low HP")</f>
        <v>Medium HP</v>
      </c>
      <c r="L57" s="27" t="s">
        <v>21</v>
      </c>
      <c r="M57" s="27">
        <v>32.0</v>
      </c>
      <c r="N57" s="27">
        <v>103.2</v>
      </c>
      <c r="O57" s="27">
        <v>67.1</v>
      </c>
      <c r="P57" s="27">
        <v>175.1</v>
      </c>
      <c r="Q57" s="27">
        <v>2.339</v>
      </c>
      <c r="R57" s="27">
        <v>11.9</v>
      </c>
      <c r="S57" s="31">
        <v>40837.0</v>
      </c>
    </row>
    <row r="58" ht="15.75" hidden="1" customHeight="1">
      <c r="A58" s="18" t="s">
        <v>85</v>
      </c>
      <c r="B58" s="19" t="s">
        <v>87</v>
      </c>
      <c r="C58" s="20">
        <v>54.26954829</v>
      </c>
      <c r="D58" s="21">
        <v>230902.0</v>
      </c>
      <c r="E58" s="22">
        <v>15350.0</v>
      </c>
      <c r="F58" s="22">
        <v>13210.0</v>
      </c>
      <c r="G58" s="23">
        <f t="shared" si="1"/>
        <v>0.8605863192</v>
      </c>
      <c r="H58" s="23" t="str">
        <f t="shared" si="2"/>
        <v>GOOD</v>
      </c>
      <c r="I58" s="20">
        <v>2.3</v>
      </c>
      <c r="J58" s="20">
        <v>135.0</v>
      </c>
      <c r="K58" s="20" t="str">
        <f t="array" ref="K58">IFS(J58&gt;299,"High HP",J58&gt;99,"Medium HP",J58&lt;100,"Low HP")</f>
        <v>Medium HP</v>
      </c>
      <c r="L58" s="20" t="s">
        <v>21</v>
      </c>
      <c r="M58" s="20">
        <v>27.0</v>
      </c>
      <c r="N58" s="20">
        <v>106.9</v>
      </c>
      <c r="O58" s="20">
        <v>70.3</v>
      </c>
      <c r="P58" s="20">
        <v>188.8</v>
      </c>
      <c r="Q58" s="20">
        <v>2.932</v>
      </c>
      <c r="R58" s="20">
        <v>17.1</v>
      </c>
      <c r="S58" s="24">
        <v>41049.0</v>
      </c>
    </row>
    <row r="59" ht="15.75" hidden="1" customHeight="1">
      <c r="A59" s="25" t="s">
        <v>85</v>
      </c>
      <c r="B59" s="26" t="s">
        <v>88</v>
      </c>
      <c r="C59" s="27">
        <v>60.08796662</v>
      </c>
      <c r="D59" s="28">
        <v>73203.0</v>
      </c>
      <c r="E59" s="29">
        <v>20550.0</v>
      </c>
      <c r="F59" s="29">
        <v>17710.0</v>
      </c>
      <c r="G59" s="30">
        <f t="shared" si="1"/>
        <v>0.8618004866</v>
      </c>
      <c r="H59" s="30" t="str">
        <f t="shared" si="2"/>
        <v>GOOD</v>
      </c>
      <c r="I59" s="27">
        <v>2.0</v>
      </c>
      <c r="J59" s="27">
        <v>146.0</v>
      </c>
      <c r="K59" s="27" t="str">
        <f t="array" ref="K59">IFS(J59&gt;299,"High HP",J59&gt;99,"Medium HP",J59&lt;100,"Low HP")</f>
        <v>Medium HP</v>
      </c>
      <c r="L59" s="27" t="s">
        <v>43</v>
      </c>
      <c r="M59" s="27">
        <v>24.0</v>
      </c>
      <c r="N59" s="27">
        <v>103.2</v>
      </c>
      <c r="O59" s="27">
        <v>68.9</v>
      </c>
      <c r="P59" s="27">
        <v>177.6</v>
      </c>
      <c r="Q59" s="27">
        <v>3.219</v>
      </c>
      <c r="R59" s="27">
        <v>15.3</v>
      </c>
      <c r="S59" s="31">
        <v>40989.0</v>
      </c>
    </row>
    <row r="60" ht="15.75" hidden="1" customHeight="1">
      <c r="A60" s="18" t="s">
        <v>85</v>
      </c>
      <c r="B60" s="19" t="s">
        <v>89</v>
      </c>
      <c r="C60" s="20">
        <v>83.6025008</v>
      </c>
      <c r="D60" s="21">
        <v>12855.0</v>
      </c>
      <c r="E60" s="22">
        <v>26600.0</v>
      </c>
      <c r="F60" s="22">
        <v>17525.0</v>
      </c>
      <c r="G60" s="23">
        <f t="shared" si="1"/>
        <v>0.6588345865</v>
      </c>
      <c r="H60" s="23" t="str">
        <f t="shared" si="2"/>
        <v>POOR</v>
      </c>
      <c r="I60" s="20">
        <v>3.2</v>
      </c>
      <c r="J60" s="20">
        <v>205.0</v>
      </c>
      <c r="K60" s="20" t="str">
        <f t="array" ref="K60">IFS(J60&gt;299,"High HP",J60&gt;99,"Medium HP",J60&lt;100,"Low HP")</f>
        <v>Medium HP</v>
      </c>
      <c r="L60" s="20" t="s">
        <v>43</v>
      </c>
      <c r="M60" s="20">
        <v>19.0</v>
      </c>
      <c r="N60" s="20">
        <v>106.4</v>
      </c>
      <c r="O60" s="20">
        <v>70.4</v>
      </c>
      <c r="P60" s="20">
        <v>178.2</v>
      </c>
      <c r="Q60" s="20">
        <v>3.857</v>
      </c>
      <c r="R60" s="20">
        <v>21.1</v>
      </c>
      <c r="S60" s="24">
        <v>41191.0</v>
      </c>
    </row>
    <row r="61" ht="15.75" hidden="1" customHeight="1">
      <c r="A61" s="25" t="s">
        <v>85</v>
      </c>
      <c r="B61" s="26" t="s">
        <v>90</v>
      </c>
      <c r="C61" s="27">
        <v>85.21769134</v>
      </c>
      <c r="D61" s="28">
        <v>76029.0</v>
      </c>
      <c r="E61" s="29">
        <v>26000.0</v>
      </c>
      <c r="F61" s="29">
        <v>19490.0</v>
      </c>
      <c r="G61" s="30">
        <f t="shared" si="1"/>
        <v>0.7496153846</v>
      </c>
      <c r="H61" s="30" t="str">
        <f t="shared" si="2"/>
        <v>GOOD</v>
      </c>
      <c r="I61" s="27">
        <v>3.5</v>
      </c>
      <c r="J61" s="27">
        <v>210.0</v>
      </c>
      <c r="K61" s="27" t="str">
        <f t="array" ref="K61">IFS(J61&gt;299,"High HP",J61&gt;99,"Medium HP",J61&lt;100,"Low HP")</f>
        <v>Medium HP</v>
      </c>
      <c r="L61" s="27" t="s">
        <v>43</v>
      </c>
      <c r="M61" s="27">
        <v>23.0</v>
      </c>
      <c r="N61" s="27">
        <v>118.1</v>
      </c>
      <c r="O61" s="27">
        <v>75.6</v>
      </c>
      <c r="P61" s="27">
        <v>201.2</v>
      </c>
      <c r="Q61" s="27">
        <v>4.288</v>
      </c>
      <c r="R61" s="27">
        <v>20.0</v>
      </c>
      <c r="S61" s="31">
        <v>40947.0</v>
      </c>
    </row>
    <row r="62" ht="15.75" hidden="1" customHeight="1">
      <c r="A62" s="18" t="s">
        <v>91</v>
      </c>
      <c r="B62" s="19" t="s">
        <v>92</v>
      </c>
      <c r="C62" s="20">
        <v>36.67228358</v>
      </c>
      <c r="D62" s="21">
        <v>41184.0</v>
      </c>
      <c r="E62" s="22">
        <v>9699.0</v>
      </c>
      <c r="F62" s="22">
        <v>5860.0</v>
      </c>
      <c r="G62" s="23">
        <f t="shared" si="1"/>
        <v>0.6041859986</v>
      </c>
      <c r="H62" s="23" t="str">
        <f t="shared" si="2"/>
        <v>POOR</v>
      </c>
      <c r="I62" s="20">
        <v>1.5</v>
      </c>
      <c r="J62" s="20">
        <v>92.0</v>
      </c>
      <c r="K62" s="20" t="str">
        <f t="array" ref="K62">IFS(J62&gt;299,"High HP",J62&gt;99,"Medium HP",J62&lt;100,"Low HP")</f>
        <v>Low HP</v>
      </c>
      <c r="L62" s="20" t="s">
        <v>21</v>
      </c>
      <c r="M62" s="20">
        <v>31.0</v>
      </c>
      <c r="N62" s="20">
        <v>96.1</v>
      </c>
      <c r="O62" s="20">
        <v>65.7</v>
      </c>
      <c r="P62" s="20">
        <v>166.7</v>
      </c>
      <c r="Q62" s="20">
        <v>2.24</v>
      </c>
      <c r="R62" s="20">
        <v>11.9</v>
      </c>
      <c r="S62" s="24">
        <v>41162.0</v>
      </c>
    </row>
    <row r="63" ht="15.75" hidden="1" customHeight="1">
      <c r="A63" s="25" t="s">
        <v>91</v>
      </c>
      <c r="B63" s="26" t="s">
        <v>93</v>
      </c>
      <c r="C63" s="27">
        <v>54.59004516</v>
      </c>
      <c r="D63" s="28">
        <v>66692.0</v>
      </c>
      <c r="E63" s="29">
        <v>11799.0</v>
      </c>
      <c r="F63" s="29">
        <v>7825.0</v>
      </c>
      <c r="G63" s="30">
        <f t="shared" si="1"/>
        <v>0.6631917959</v>
      </c>
      <c r="H63" s="30" t="str">
        <f t="shared" si="2"/>
        <v>POOR</v>
      </c>
      <c r="I63" s="27">
        <v>2.0</v>
      </c>
      <c r="J63" s="27">
        <v>140.0</v>
      </c>
      <c r="K63" s="27" t="str">
        <f t="array" ref="K63">IFS(J63&gt;299,"High HP",J63&gt;99,"Medium HP",J63&lt;100,"Low HP")</f>
        <v>Medium HP</v>
      </c>
      <c r="L63" s="27" t="s">
        <v>21</v>
      </c>
      <c r="M63" s="27">
        <v>27.0</v>
      </c>
      <c r="N63" s="27">
        <v>100.4</v>
      </c>
      <c r="O63" s="27">
        <v>66.9</v>
      </c>
      <c r="P63" s="27">
        <v>174.0</v>
      </c>
      <c r="Q63" s="27">
        <v>2.626</v>
      </c>
      <c r="R63" s="27">
        <v>14.5</v>
      </c>
      <c r="S63" s="31">
        <v>40862.0</v>
      </c>
    </row>
    <row r="64" ht="15.75" hidden="1" customHeight="1">
      <c r="A64" s="18" t="s">
        <v>91</v>
      </c>
      <c r="B64" s="19" t="s">
        <v>94</v>
      </c>
      <c r="C64" s="20">
        <v>58.758249</v>
      </c>
      <c r="D64" s="21">
        <v>29450.0</v>
      </c>
      <c r="E64" s="22">
        <v>14999.0</v>
      </c>
      <c r="F64" s="22">
        <v>8910.0</v>
      </c>
      <c r="G64" s="23">
        <f t="shared" si="1"/>
        <v>0.5940396026</v>
      </c>
      <c r="H64" s="23" t="str">
        <f t="shared" si="2"/>
        <v>POOR</v>
      </c>
      <c r="I64" s="20">
        <v>2.4</v>
      </c>
      <c r="J64" s="20">
        <v>148.0</v>
      </c>
      <c r="K64" s="20" t="str">
        <f t="array" ref="K64">IFS(J64&gt;299,"High HP",J64&gt;99,"Medium HP",J64&lt;100,"Low HP")</f>
        <v>Medium HP</v>
      </c>
      <c r="L64" s="20" t="s">
        <v>21</v>
      </c>
      <c r="M64" s="20">
        <v>25.0</v>
      </c>
      <c r="N64" s="20">
        <v>106.3</v>
      </c>
      <c r="O64" s="20">
        <v>71.6</v>
      </c>
      <c r="P64" s="20">
        <v>185.4</v>
      </c>
      <c r="Q64" s="20">
        <v>3.072</v>
      </c>
      <c r="R64" s="20">
        <v>17.2</v>
      </c>
      <c r="S64" s="24">
        <v>41074.0</v>
      </c>
    </row>
    <row r="65" ht="15.75" hidden="1" customHeight="1">
      <c r="A65" s="25" t="s">
        <v>95</v>
      </c>
      <c r="B65" s="26" t="s">
        <v>96</v>
      </c>
      <c r="C65" s="27">
        <v>92.43688923</v>
      </c>
      <c r="D65" s="28">
        <v>23713.0</v>
      </c>
      <c r="E65" s="29">
        <v>29465.0</v>
      </c>
      <c r="F65" s="29">
        <v>19690.0</v>
      </c>
      <c r="G65" s="30">
        <f t="shared" si="1"/>
        <v>0.6682504667</v>
      </c>
      <c r="H65" s="30" t="str">
        <f t="shared" si="2"/>
        <v>POOR</v>
      </c>
      <c r="I65" s="27">
        <v>3.0</v>
      </c>
      <c r="J65" s="27">
        <v>227.0</v>
      </c>
      <c r="K65" s="27" t="str">
        <f t="array" ref="K65">IFS(J65&gt;299,"High HP",J65&gt;99,"Medium HP",J65&lt;100,"Low HP")</f>
        <v>Medium HP</v>
      </c>
      <c r="L65" s="27" t="s">
        <v>21</v>
      </c>
      <c r="M65" s="27">
        <v>25.0</v>
      </c>
      <c r="N65" s="27">
        <v>108.3</v>
      </c>
      <c r="O65" s="27">
        <v>70.2</v>
      </c>
      <c r="P65" s="27">
        <v>193.7</v>
      </c>
      <c r="Q65" s="27">
        <v>3.342</v>
      </c>
      <c r="R65" s="27">
        <v>18.5</v>
      </c>
      <c r="S65" s="31">
        <v>41014.0</v>
      </c>
    </row>
    <row r="66" ht="15.75" hidden="1" customHeight="1">
      <c r="A66" s="18" t="s">
        <v>97</v>
      </c>
      <c r="B66" s="19" t="s">
        <v>98</v>
      </c>
      <c r="C66" s="20">
        <v>102.1789848</v>
      </c>
      <c r="D66" s="21">
        <v>15467.0</v>
      </c>
      <c r="E66" s="22">
        <v>42800.0</v>
      </c>
      <c r="F66" s="22">
        <v>33219.0</v>
      </c>
      <c r="G66" s="23">
        <f t="shared" si="1"/>
        <v>0.7761448598</v>
      </c>
      <c r="H66" s="23" t="str">
        <f t="shared" si="2"/>
        <v>GOOD</v>
      </c>
      <c r="I66" s="20">
        <v>3.0</v>
      </c>
      <c r="J66" s="20">
        <v>240.0</v>
      </c>
      <c r="K66" s="20" t="str">
        <f t="array" ref="K66">IFS(J66&gt;299,"High HP",J66&gt;99,"Medium HP",J66&lt;100,"Low HP")</f>
        <v>Medium HP</v>
      </c>
      <c r="L66" s="20" t="s">
        <v>21</v>
      </c>
      <c r="M66" s="20">
        <v>21.0</v>
      </c>
      <c r="N66" s="20">
        <v>114.5</v>
      </c>
      <c r="O66" s="20">
        <v>71.6</v>
      </c>
      <c r="P66" s="20">
        <v>191.3</v>
      </c>
      <c r="Q66" s="20">
        <v>3.65</v>
      </c>
      <c r="R66" s="20">
        <v>18.4</v>
      </c>
      <c r="S66" s="24">
        <v>41216.0</v>
      </c>
    </row>
    <row r="67" ht="15.75" hidden="1" customHeight="1">
      <c r="A67" s="25" t="s">
        <v>99</v>
      </c>
      <c r="B67" s="26" t="s">
        <v>100</v>
      </c>
      <c r="C67" s="27">
        <v>48.67289791</v>
      </c>
      <c r="D67" s="28">
        <v>55557.0</v>
      </c>
      <c r="E67" s="29">
        <v>14460.0</v>
      </c>
      <c r="F67" s="29">
        <v>13475.0</v>
      </c>
      <c r="G67" s="30">
        <f t="shared" si="1"/>
        <v>0.9318810512</v>
      </c>
      <c r="H67" s="30" t="str">
        <f t="shared" si="2"/>
        <v>GOOD</v>
      </c>
      <c r="I67" s="27">
        <v>2.5</v>
      </c>
      <c r="J67" s="27">
        <v>120.0</v>
      </c>
      <c r="K67" s="27" t="str">
        <f t="array" ref="K67">IFS(J67&gt;299,"High HP",J67&gt;99,"Medium HP",J67&lt;100,"Low HP")</f>
        <v>Medium HP</v>
      </c>
      <c r="L67" s="27" t="s">
        <v>43</v>
      </c>
      <c r="M67" s="27">
        <v>17.0</v>
      </c>
      <c r="N67" s="27">
        <v>93.4</v>
      </c>
      <c r="O67" s="27">
        <v>66.7</v>
      </c>
      <c r="P67" s="27">
        <v>152.0</v>
      </c>
      <c r="Q67" s="27">
        <v>3.045</v>
      </c>
      <c r="R67" s="27">
        <v>19.0</v>
      </c>
      <c r="S67" s="31">
        <v>40972.0</v>
      </c>
    </row>
    <row r="68" ht="15.75" hidden="1" customHeight="1">
      <c r="A68" s="18" t="s">
        <v>99</v>
      </c>
      <c r="B68" s="19" t="s">
        <v>101</v>
      </c>
      <c r="C68" s="20">
        <v>76.58443962</v>
      </c>
      <c r="D68" s="21">
        <v>80556.0</v>
      </c>
      <c r="E68" s="22">
        <v>21620.0</v>
      </c>
      <c r="F68" s="22">
        <v>13775.0</v>
      </c>
      <c r="G68" s="23">
        <f t="shared" si="1"/>
        <v>0.6371415356</v>
      </c>
      <c r="H68" s="23" t="str">
        <f t="shared" si="2"/>
        <v>POOR</v>
      </c>
      <c r="I68" s="20">
        <v>4.0</v>
      </c>
      <c r="J68" s="20">
        <v>190.0</v>
      </c>
      <c r="K68" s="20" t="str">
        <f t="array" ref="K68">IFS(J68&gt;299,"High HP",J68&gt;99,"Medium HP",J68&lt;100,"Low HP")</f>
        <v>Medium HP</v>
      </c>
      <c r="L68" s="20" t="s">
        <v>43</v>
      </c>
      <c r="M68" s="20">
        <v>20.0</v>
      </c>
      <c r="N68" s="20">
        <v>101.4</v>
      </c>
      <c r="O68" s="20">
        <v>69.4</v>
      </c>
      <c r="P68" s="20">
        <v>167.5</v>
      </c>
      <c r="Q68" s="20">
        <v>3.194</v>
      </c>
      <c r="R68" s="20">
        <v>20.0</v>
      </c>
      <c r="S68" s="24">
        <v>41187.0</v>
      </c>
    </row>
    <row r="69" ht="15.75" hidden="1" customHeight="1">
      <c r="A69" s="25" t="s">
        <v>99</v>
      </c>
      <c r="B69" s="26" t="s">
        <v>102</v>
      </c>
      <c r="C69" s="27">
        <v>80.38777912</v>
      </c>
      <c r="D69" s="28">
        <v>157040.0</v>
      </c>
      <c r="E69" s="29">
        <v>26895.0</v>
      </c>
      <c r="F69" s="29">
        <v>18810.0</v>
      </c>
      <c r="G69" s="30">
        <f t="shared" si="1"/>
        <v>0.6993865031</v>
      </c>
      <c r="H69" s="30" t="str">
        <f t="shared" si="2"/>
        <v>GOOD</v>
      </c>
      <c r="I69" s="27">
        <v>4.0</v>
      </c>
      <c r="J69" s="27">
        <v>195.0</v>
      </c>
      <c r="K69" s="27" t="str">
        <f t="array" ref="K69">IFS(J69&gt;299,"High HP",J69&gt;99,"Medium HP",J69&lt;100,"Low HP")</f>
        <v>Medium HP</v>
      </c>
      <c r="L69" s="27" t="s">
        <v>43</v>
      </c>
      <c r="M69" s="27">
        <v>19.0</v>
      </c>
      <c r="N69" s="27">
        <v>105.9</v>
      </c>
      <c r="O69" s="27">
        <v>72.3</v>
      </c>
      <c r="P69" s="27">
        <v>181.5</v>
      </c>
      <c r="Q69" s="27">
        <v>3.88</v>
      </c>
      <c r="R69" s="27">
        <v>20.5</v>
      </c>
      <c r="S69" s="31">
        <v>40887.0</v>
      </c>
    </row>
    <row r="70" ht="15.75" hidden="1" customHeight="1">
      <c r="A70" s="18" t="s">
        <v>103</v>
      </c>
      <c r="B70" s="19" t="s">
        <v>104</v>
      </c>
      <c r="C70" s="20">
        <v>87.21100104</v>
      </c>
      <c r="D70" s="21">
        <v>24072.0</v>
      </c>
      <c r="E70" s="22">
        <v>31505.0</v>
      </c>
      <c r="F70" s="22">
        <v>26975.0</v>
      </c>
      <c r="G70" s="23">
        <f t="shared" si="1"/>
        <v>0.8562132995</v>
      </c>
      <c r="H70" s="23" t="str">
        <f t="shared" si="2"/>
        <v>GOOD</v>
      </c>
      <c r="I70" s="20">
        <v>3.0</v>
      </c>
      <c r="J70" s="20">
        <v>210.0</v>
      </c>
      <c r="K70" s="20" t="str">
        <f t="array" ref="K70">IFS(J70&gt;299,"High HP",J70&gt;99,"Medium HP",J70&lt;100,"Low HP")</f>
        <v>Medium HP</v>
      </c>
      <c r="L70" s="20" t="s">
        <v>21</v>
      </c>
      <c r="M70" s="20">
        <v>23.0</v>
      </c>
      <c r="N70" s="20">
        <v>105.1</v>
      </c>
      <c r="O70" s="20">
        <v>70.5</v>
      </c>
      <c r="P70" s="20">
        <v>190.2</v>
      </c>
      <c r="Q70" s="20">
        <v>3.373</v>
      </c>
      <c r="R70" s="20">
        <v>18.5</v>
      </c>
      <c r="S70" s="24">
        <v>41099.0</v>
      </c>
    </row>
    <row r="71" ht="15.75" hidden="1" customHeight="1">
      <c r="A71" s="25" t="s">
        <v>103</v>
      </c>
      <c r="B71" s="26" t="s">
        <v>105</v>
      </c>
      <c r="C71" s="27">
        <v>94.9466984</v>
      </c>
      <c r="D71" s="28">
        <v>12698.0</v>
      </c>
      <c r="E71" s="29">
        <v>37805.0</v>
      </c>
      <c r="F71" s="29">
        <v>32075.000000000004</v>
      </c>
      <c r="G71" s="30">
        <f t="shared" si="1"/>
        <v>0.848432747</v>
      </c>
      <c r="H71" s="30" t="str">
        <f t="shared" si="2"/>
        <v>GOOD</v>
      </c>
      <c r="I71" s="27">
        <v>3.0</v>
      </c>
      <c r="J71" s="27">
        <v>225.0</v>
      </c>
      <c r="K71" s="27" t="str">
        <f t="array" ref="K71">IFS(J71&gt;299,"High HP",J71&gt;99,"Medium HP",J71&lt;100,"Low HP")</f>
        <v>Medium HP</v>
      </c>
      <c r="L71" s="27" t="s">
        <v>21</v>
      </c>
      <c r="M71" s="27">
        <v>23.0</v>
      </c>
      <c r="N71" s="27">
        <v>110.2</v>
      </c>
      <c r="O71" s="27">
        <v>70.9</v>
      </c>
      <c r="P71" s="27">
        <v>189.2</v>
      </c>
      <c r="Q71" s="27">
        <v>3.638</v>
      </c>
      <c r="R71" s="27">
        <v>19.8</v>
      </c>
      <c r="S71" s="31">
        <v>41039.0</v>
      </c>
    </row>
    <row r="72" ht="15.75" hidden="1" customHeight="1">
      <c r="A72" s="18" t="s">
        <v>103</v>
      </c>
      <c r="B72" s="19" t="s">
        <v>106</v>
      </c>
      <c r="C72" s="20">
        <v>125.0133574</v>
      </c>
      <c r="D72" s="21">
        <v>3334.0</v>
      </c>
      <c r="E72" s="22">
        <v>46305.0</v>
      </c>
      <c r="F72" s="22">
        <v>38955.0</v>
      </c>
      <c r="G72" s="23">
        <f t="shared" si="1"/>
        <v>0.8412698413</v>
      </c>
      <c r="H72" s="23" t="str">
        <f t="shared" si="2"/>
        <v>GOOD</v>
      </c>
      <c r="I72" s="20">
        <v>4.0</v>
      </c>
      <c r="J72" s="20">
        <v>300.0</v>
      </c>
      <c r="K72" s="20" t="str">
        <f t="array" ref="K72">IFS(J72&gt;299,"High HP",J72&gt;99,"Medium HP",J72&lt;100,"Low HP")</f>
        <v>High HP</v>
      </c>
      <c r="L72" s="20" t="s">
        <v>21</v>
      </c>
      <c r="M72" s="20">
        <v>21.0</v>
      </c>
      <c r="N72" s="20">
        <v>110.2</v>
      </c>
      <c r="O72" s="20">
        <v>70.9</v>
      </c>
      <c r="P72" s="20">
        <v>189.2</v>
      </c>
      <c r="Q72" s="20">
        <v>3.693</v>
      </c>
      <c r="R72" s="20">
        <v>19.8</v>
      </c>
      <c r="S72" s="24">
        <v>41241.0</v>
      </c>
    </row>
    <row r="73" ht="15.75" hidden="1" customHeight="1">
      <c r="A73" s="25" t="s">
        <v>103</v>
      </c>
      <c r="B73" s="26" t="s">
        <v>107</v>
      </c>
      <c r="C73" s="27">
        <v>124.4467163</v>
      </c>
      <c r="D73" s="28">
        <v>6375.0</v>
      </c>
      <c r="E73" s="29">
        <v>54005.0</v>
      </c>
      <c r="F73" s="29">
        <v>40375.0</v>
      </c>
      <c r="G73" s="30">
        <f t="shared" si="1"/>
        <v>0.7476159615</v>
      </c>
      <c r="H73" s="30" t="str">
        <f t="shared" si="2"/>
        <v>GOOD</v>
      </c>
      <c r="I73" s="27">
        <v>4.0</v>
      </c>
      <c r="J73" s="27">
        <v>290.0</v>
      </c>
      <c r="K73" s="27" t="str">
        <f t="array" ref="K73">IFS(J73&gt;299,"High HP",J73&gt;99,"Medium HP",J73&lt;100,"Low HP")</f>
        <v>Medium HP</v>
      </c>
      <c r="L73" s="27" t="s">
        <v>21</v>
      </c>
      <c r="M73" s="27">
        <v>22.0</v>
      </c>
      <c r="N73" s="27">
        <v>112.2</v>
      </c>
      <c r="O73" s="27">
        <v>72.0</v>
      </c>
      <c r="P73" s="27">
        <v>196.7</v>
      </c>
      <c r="Q73" s="27">
        <v>3.89</v>
      </c>
      <c r="R73" s="27">
        <v>22.5</v>
      </c>
      <c r="S73" s="31">
        <v>40997.0</v>
      </c>
    </row>
    <row r="74" ht="15.75" hidden="1" customHeight="1">
      <c r="A74" s="18" t="s">
        <v>103</v>
      </c>
      <c r="B74" s="19" t="s">
        <v>108</v>
      </c>
      <c r="C74" s="20">
        <v>105.760458</v>
      </c>
      <c r="D74" s="21">
        <v>9126.0</v>
      </c>
      <c r="E74" s="22">
        <v>60105.0</v>
      </c>
      <c r="F74" s="22">
        <v>43870.0</v>
      </c>
      <c r="G74" s="23">
        <f t="shared" si="1"/>
        <v>0.7298893603</v>
      </c>
      <c r="H74" s="23" t="str">
        <f t="shared" si="2"/>
        <v>GOOD</v>
      </c>
      <c r="I74" s="20">
        <v>4.7</v>
      </c>
      <c r="J74" s="20">
        <v>230.0</v>
      </c>
      <c r="K74" s="20" t="str">
        <f t="array" ref="K74">IFS(J74&gt;299,"High HP",J74&gt;99,"Medium HP",J74&lt;100,"Low HP")</f>
        <v>Medium HP</v>
      </c>
      <c r="L74" s="20" t="s">
        <v>43</v>
      </c>
      <c r="M74" s="20">
        <v>15.0</v>
      </c>
      <c r="N74" s="20">
        <v>112.2</v>
      </c>
      <c r="O74" s="20">
        <v>76.4</v>
      </c>
      <c r="P74" s="20">
        <v>192.5</v>
      </c>
      <c r="Q74" s="20">
        <v>5.401</v>
      </c>
      <c r="R74" s="20">
        <v>25.4</v>
      </c>
      <c r="S74" s="24">
        <v>41212.0</v>
      </c>
    </row>
    <row r="75" ht="15.75" hidden="1" customHeight="1">
      <c r="A75" s="25" t="s">
        <v>103</v>
      </c>
      <c r="B75" s="26" t="s">
        <v>109</v>
      </c>
      <c r="C75" s="27">
        <v>91.94380156</v>
      </c>
      <c r="D75" s="28">
        <v>51238.0</v>
      </c>
      <c r="E75" s="29">
        <v>34605.0</v>
      </c>
      <c r="F75" s="29">
        <v>29140.0</v>
      </c>
      <c r="G75" s="30">
        <f t="shared" si="1"/>
        <v>0.8420748447</v>
      </c>
      <c r="H75" s="30" t="str">
        <f t="shared" si="2"/>
        <v>GOOD</v>
      </c>
      <c r="I75" s="27">
        <v>3.0</v>
      </c>
      <c r="J75" s="27">
        <v>220.0</v>
      </c>
      <c r="K75" s="27" t="str">
        <f t="array" ref="K75">IFS(J75&gt;299,"High HP",J75&gt;99,"Medium HP",J75&lt;100,"Low HP")</f>
        <v>Medium HP</v>
      </c>
      <c r="L75" s="27" t="s">
        <v>43</v>
      </c>
      <c r="M75" s="27">
        <v>21.0</v>
      </c>
      <c r="N75" s="27">
        <v>103.0</v>
      </c>
      <c r="O75" s="27">
        <v>71.5</v>
      </c>
      <c r="P75" s="27">
        <v>180.1</v>
      </c>
      <c r="Q75" s="27">
        <v>3.9</v>
      </c>
      <c r="R75" s="27">
        <v>17.2</v>
      </c>
      <c r="S75" s="31">
        <v>40912.0</v>
      </c>
    </row>
    <row r="76" ht="15.75" hidden="1" customHeight="1">
      <c r="A76" s="18" t="s">
        <v>110</v>
      </c>
      <c r="B76" s="19" t="s">
        <v>111</v>
      </c>
      <c r="C76" s="20">
        <v>113.5402069</v>
      </c>
      <c r="D76" s="21">
        <v>13798.0</v>
      </c>
      <c r="E76" s="22">
        <v>39080.0</v>
      </c>
      <c r="F76" s="22">
        <v>20525.0</v>
      </c>
      <c r="G76" s="23">
        <f t="shared" si="1"/>
        <v>0.5252047083</v>
      </c>
      <c r="H76" s="23" t="str">
        <f t="shared" si="2"/>
        <v>POOR</v>
      </c>
      <c r="I76" s="20">
        <v>4.6</v>
      </c>
      <c r="J76" s="20">
        <v>275.0</v>
      </c>
      <c r="K76" s="20" t="str">
        <f t="array" ref="K76">IFS(J76&gt;299,"High HP",J76&gt;99,"Medium HP",J76&lt;100,"Low HP")</f>
        <v>Medium HP</v>
      </c>
      <c r="L76" s="20" t="s">
        <v>21</v>
      </c>
      <c r="M76" s="20">
        <v>22.0</v>
      </c>
      <c r="N76" s="20">
        <v>109.0</v>
      </c>
      <c r="O76" s="20">
        <v>73.6</v>
      </c>
      <c r="P76" s="20">
        <v>208.5</v>
      </c>
      <c r="Q76" s="20">
        <v>3.868</v>
      </c>
      <c r="R76" s="20">
        <v>20.0</v>
      </c>
      <c r="S76" s="24">
        <v>41124.0</v>
      </c>
    </row>
    <row r="77" ht="15.75" hidden="1" customHeight="1">
      <c r="A77" s="25" t="s">
        <v>110</v>
      </c>
      <c r="B77" s="26" t="s">
        <v>112</v>
      </c>
      <c r="C77" s="27">
        <v>93.9579169</v>
      </c>
      <c r="D77" s="28">
        <v>48911.0</v>
      </c>
      <c r="E77" s="29">
        <v>43330.0</v>
      </c>
      <c r="F77" s="29">
        <v>21725.0</v>
      </c>
      <c r="G77" s="30">
        <f t="shared" si="1"/>
        <v>0.5013847219</v>
      </c>
      <c r="H77" s="30" t="str">
        <f t="shared" si="2"/>
        <v>POOR</v>
      </c>
      <c r="I77" s="27">
        <v>4.6</v>
      </c>
      <c r="J77" s="27">
        <v>215.0</v>
      </c>
      <c r="K77" s="27" t="str">
        <f t="array" ref="K77">IFS(J77&gt;299,"High HP",J77&gt;99,"Medium HP",J77&lt;100,"Low HP")</f>
        <v>Medium HP</v>
      </c>
      <c r="L77" s="27" t="s">
        <v>21</v>
      </c>
      <c r="M77" s="27">
        <v>21.0</v>
      </c>
      <c r="N77" s="27">
        <v>117.7</v>
      </c>
      <c r="O77" s="27">
        <v>78.2</v>
      </c>
      <c r="P77" s="27">
        <v>215.3</v>
      </c>
      <c r="Q77" s="27">
        <v>4.121</v>
      </c>
      <c r="R77" s="27">
        <v>19.0</v>
      </c>
      <c r="S77" s="31">
        <v>41064.0</v>
      </c>
    </row>
    <row r="78" ht="15.75" hidden="1" customHeight="1">
      <c r="A78" s="18" t="s">
        <v>110</v>
      </c>
      <c r="B78" s="19" t="s">
        <v>113</v>
      </c>
      <c r="C78" s="20">
        <v>123.9720467</v>
      </c>
      <c r="D78" s="21">
        <v>22925.0</v>
      </c>
      <c r="E78" s="22">
        <v>42660.0</v>
      </c>
      <c r="F78" s="22">
        <v>20765.0</v>
      </c>
      <c r="G78" s="23">
        <f t="shared" si="1"/>
        <v>0.4867557431</v>
      </c>
      <c r="H78" s="23" t="str">
        <f t="shared" si="2"/>
        <v>POOR</v>
      </c>
      <c r="I78" s="20">
        <v>5.4</v>
      </c>
      <c r="J78" s="20">
        <v>300.0</v>
      </c>
      <c r="K78" s="20" t="str">
        <f t="array" ref="K78">IFS(J78&gt;299,"High HP",J78&gt;99,"Medium HP",J78&lt;100,"Low HP")</f>
        <v>High HP</v>
      </c>
      <c r="L78" s="20" t="s">
        <v>43</v>
      </c>
      <c r="M78" s="20">
        <v>15.0</v>
      </c>
      <c r="N78" s="20">
        <v>119.0</v>
      </c>
      <c r="O78" s="20">
        <v>79.9</v>
      </c>
      <c r="P78" s="20">
        <v>204.8</v>
      </c>
      <c r="Q78" s="20">
        <v>5.393</v>
      </c>
      <c r="R78" s="20">
        <v>30.0</v>
      </c>
      <c r="S78" s="24">
        <v>41266.0</v>
      </c>
    </row>
    <row r="79" ht="15.75" hidden="1" customHeight="1">
      <c r="A79" s="25" t="s">
        <v>114</v>
      </c>
      <c r="B79" s="26" t="s">
        <v>115</v>
      </c>
      <c r="C79" s="27">
        <v>45.83218056</v>
      </c>
      <c r="D79" s="28">
        <v>26232.0</v>
      </c>
      <c r="E79" s="29">
        <v>13987.0</v>
      </c>
      <c r="F79" s="29">
        <v>8325.0</v>
      </c>
      <c r="G79" s="30">
        <f t="shared" si="1"/>
        <v>0.5951955387</v>
      </c>
      <c r="H79" s="30" t="str">
        <f t="shared" si="2"/>
        <v>POOR</v>
      </c>
      <c r="I79" s="27">
        <v>1.8</v>
      </c>
      <c r="J79" s="27">
        <v>113.0</v>
      </c>
      <c r="K79" s="27" t="str">
        <f t="array" ref="K79">IFS(J79&gt;299,"High HP",J79&gt;99,"Medium HP",J79&lt;100,"Low HP")</f>
        <v>Medium HP</v>
      </c>
      <c r="L79" s="27" t="s">
        <v>21</v>
      </c>
      <c r="M79" s="27">
        <v>30.0</v>
      </c>
      <c r="N79" s="27">
        <v>98.4</v>
      </c>
      <c r="O79" s="27">
        <v>66.5</v>
      </c>
      <c r="P79" s="27">
        <v>173.6</v>
      </c>
      <c r="Q79" s="27">
        <v>2.25</v>
      </c>
      <c r="R79" s="27">
        <v>13.2</v>
      </c>
      <c r="S79" s="31">
        <v>41022.0</v>
      </c>
    </row>
    <row r="80" ht="15.75" hidden="1" customHeight="1">
      <c r="A80" s="18" t="s">
        <v>114</v>
      </c>
      <c r="B80" s="19" t="s">
        <v>116</v>
      </c>
      <c r="C80" s="20">
        <v>62.44196235</v>
      </c>
      <c r="D80" s="21">
        <v>42541.0</v>
      </c>
      <c r="E80" s="22">
        <v>19047.0</v>
      </c>
      <c r="F80" s="22">
        <v>10395.0</v>
      </c>
      <c r="G80" s="23">
        <f t="shared" si="1"/>
        <v>0.545755237</v>
      </c>
      <c r="H80" s="23" t="str">
        <f t="shared" si="2"/>
        <v>POOR</v>
      </c>
      <c r="I80" s="20">
        <v>2.4</v>
      </c>
      <c r="J80" s="20">
        <v>154.0</v>
      </c>
      <c r="K80" s="20" t="str">
        <f t="array" ref="K80">IFS(J80&gt;299,"High HP",J80&gt;99,"Medium HP",J80&lt;100,"Low HP")</f>
        <v>Medium HP</v>
      </c>
      <c r="L80" s="20" t="s">
        <v>21</v>
      </c>
      <c r="M80" s="20">
        <v>24.0</v>
      </c>
      <c r="N80" s="20">
        <v>100.8</v>
      </c>
      <c r="O80" s="20">
        <v>68.9</v>
      </c>
      <c r="P80" s="20">
        <v>175.4</v>
      </c>
      <c r="Q80" s="20">
        <v>2.91</v>
      </c>
      <c r="R80" s="20">
        <v>15.9</v>
      </c>
      <c r="S80" s="24">
        <v>41237.0</v>
      </c>
    </row>
    <row r="81" ht="15.75" hidden="1" customHeight="1">
      <c r="A81" s="25" t="s">
        <v>114</v>
      </c>
      <c r="B81" s="26" t="s">
        <v>117</v>
      </c>
      <c r="C81" s="27">
        <v>58.60677292</v>
      </c>
      <c r="D81" s="28">
        <v>55616.0</v>
      </c>
      <c r="E81" s="29">
        <v>17357.0</v>
      </c>
      <c r="F81" s="29">
        <v>10595.0</v>
      </c>
      <c r="G81" s="30">
        <f t="shared" si="1"/>
        <v>0.6104165466</v>
      </c>
      <c r="H81" s="30" t="str">
        <f t="shared" si="2"/>
        <v>POOR</v>
      </c>
      <c r="I81" s="27">
        <v>2.4</v>
      </c>
      <c r="J81" s="27">
        <v>145.0</v>
      </c>
      <c r="K81" s="27" t="str">
        <f t="array" ref="K81">IFS(J81&gt;299,"High HP",J81&gt;99,"Medium HP",J81&lt;100,"Low HP")</f>
        <v>Medium HP</v>
      </c>
      <c r="L81" s="27" t="s">
        <v>21</v>
      </c>
      <c r="M81" s="27">
        <v>25.0</v>
      </c>
      <c r="N81" s="27">
        <v>103.7</v>
      </c>
      <c r="O81" s="27">
        <v>68.5</v>
      </c>
      <c r="P81" s="27">
        <v>187.8</v>
      </c>
      <c r="Q81" s="27">
        <v>2.945</v>
      </c>
      <c r="R81" s="27">
        <v>16.3</v>
      </c>
      <c r="S81" s="31">
        <v>40937.0</v>
      </c>
    </row>
    <row r="82" ht="15.75" hidden="1" customHeight="1">
      <c r="A82" s="18" t="s">
        <v>114</v>
      </c>
      <c r="B82" s="19" t="s">
        <v>118</v>
      </c>
      <c r="C82" s="20">
        <v>84.83077858</v>
      </c>
      <c r="D82" s="21">
        <v>5711.0</v>
      </c>
      <c r="E82" s="22">
        <v>24997.0</v>
      </c>
      <c r="F82" s="22">
        <v>16575.0</v>
      </c>
      <c r="G82" s="23">
        <f t="shared" si="1"/>
        <v>0.6630795695</v>
      </c>
      <c r="H82" s="23" t="str">
        <f t="shared" si="2"/>
        <v>POOR</v>
      </c>
      <c r="I82" s="20">
        <v>3.5</v>
      </c>
      <c r="J82" s="20">
        <v>210.0</v>
      </c>
      <c r="K82" s="20" t="str">
        <f t="array" ref="K82">IFS(J82&gt;299,"High HP",J82&gt;99,"Medium HP",J82&lt;100,"Low HP")</f>
        <v>Medium HP</v>
      </c>
      <c r="L82" s="20" t="s">
        <v>21</v>
      </c>
      <c r="M82" s="20">
        <v>22.0</v>
      </c>
      <c r="N82" s="20">
        <v>107.1</v>
      </c>
      <c r="O82" s="20">
        <v>70.3</v>
      </c>
      <c r="P82" s="20">
        <v>194.1</v>
      </c>
      <c r="Q82" s="20">
        <v>3.443</v>
      </c>
      <c r="R82" s="20">
        <v>19.0</v>
      </c>
      <c r="S82" s="24">
        <v>41149.0</v>
      </c>
    </row>
    <row r="83" ht="15.75" hidden="1" customHeight="1">
      <c r="A83" s="25" t="s">
        <v>114</v>
      </c>
      <c r="B83" s="26" t="s">
        <v>119</v>
      </c>
      <c r="C83" s="27">
        <v>67.54415494</v>
      </c>
      <c r="D83" s="28">
        <v>110.0</v>
      </c>
      <c r="E83" s="29">
        <v>25450.0</v>
      </c>
      <c r="F83" s="29">
        <v>20940.0</v>
      </c>
      <c r="G83" s="30">
        <f t="shared" si="1"/>
        <v>0.8227897839</v>
      </c>
      <c r="H83" s="30" t="str">
        <f t="shared" si="2"/>
        <v>GOOD</v>
      </c>
      <c r="I83" s="27">
        <v>3.0</v>
      </c>
      <c r="J83" s="27">
        <v>161.0</v>
      </c>
      <c r="K83" s="27" t="str">
        <f t="array" ref="K83">IFS(J83&gt;299,"High HP",J83&gt;99,"Medium HP",J83&lt;100,"Low HP")</f>
        <v>Medium HP</v>
      </c>
      <c r="L83" s="27" t="s">
        <v>21</v>
      </c>
      <c r="M83" s="27">
        <v>21.0</v>
      </c>
      <c r="N83" s="27">
        <v>97.2</v>
      </c>
      <c r="O83" s="27">
        <v>72.4</v>
      </c>
      <c r="P83" s="27">
        <v>180.3</v>
      </c>
      <c r="Q83" s="27">
        <v>3.131</v>
      </c>
      <c r="R83" s="27">
        <v>19.8</v>
      </c>
      <c r="S83" s="31">
        <v>41089.0</v>
      </c>
    </row>
    <row r="84" ht="15.75" hidden="1" customHeight="1">
      <c r="A84" s="18" t="s">
        <v>114</v>
      </c>
      <c r="B84" s="19" t="s">
        <v>120</v>
      </c>
      <c r="C84" s="20">
        <v>83.92081504</v>
      </c>
      <c r="D84" s="21">
        <v>11337.0</v>
      </c>
      <c r="E84" s="22">
        <v>31807.0</v>
      </c>
      <c r="F84" s="22">
        <v>19125.0</v>
      </c>
      <c r="G84" s="23">
        <f t="shared" si="1"/>
        <v>0.6012827365</v>
      </c>
      <c r="H84" s="23" t="str">
        <f t="shared" si="2"/>
        <v>POOR</v>
      </c>
      <c r="I84" s="20">
        <v>3.5</v>
      </c>
      <c r="J84" s="20">
        <v>200.0</v>
      </c>
      <c r="K84" s="20" t="str">
        <f t="array" ref="K84">IFS(J84&gt;299,"High HP",J84&gt;99,"Medium HP",J84&lt;100,"Low HP")</f>
        <v>Medium HP</v>
      </c>
      <c r="L84" s="20" t="s">
        <v>43</v>
      </c>
      <c r="M84" s="20">
        <v>18.0</v>
      </c>
      <c r="N84" s="20">
        <v>107.3</v>
      </c>
      <c r="O84" s="20">
        <v>69.9</v>
      </c>
      <c r="P84" s="20">
        <v>186.6</v>
      </c>
      <c r="Q84" s="20">
        <v>4.52</v>
      </c>
      <c r="R84" s="20">
        <v>24.3</v>
      </c>
      <c r="S84" s="24">
        <v>40925.0</v>
      </c>
    </row>
    <row r="85" ht="15.75" hidden="1" customHeight="1">
      <c r="A85" s="25" t="s">
        <v>114</v>
      </c>
      <c r="B85" s="26" t="s">
        <v>121</v>
      </c>
      <c r="C85" s="27">
        <v>70.66094179</v>
      </c>
      <c r="D85" s="28">
        <v>39348.0</v>
      </c>
      <c r="E85" s="29">
        <v>22527.0</v>
      </c>
      <c r="F85" s="29">
        <v>13880.0</v>
      </c>
      <c r="G85" s="30">
        <f t="shared" si="1"/>
        <v>0.6161495095</v>
      </c>
      <c r="H85" s="30" t="str">
        <f t="shared" si="2"/>
        <v>POOR</v>
      </c>
      <c r="I85" s="27">
        <v>3.0</v>
      </c>
      <c r="J85" s="27">
        <v>173.0</v>
      </c>
      <c r="K85" s="27" t="str">
        <f t="array" ref="K85">IFS(J85&gt;299,"High HP",J85&gt;99,"Medium HP",J85&lt;100,"Low HP")</f>
        <v>Medium HP</v>
      </c>
      <c r="L85" s="27" t="s">
        <v>43</v>
      </c>
      <c r="M85" s="27">
        <v>20.0</v>
      </c>
      <c r="N85" s="27">
        <v>107.3</v>
      </c>
      <c r="O85" s="27">
        <v>66.7</v>
      </c>
      <c r="P85" s="27">
        <v>178.3</v>
      </c>
      <c r="Q85" s="27">
        <v>3.51</v>
      </c>
      <c r="R85" s="27">
        <v>19.5</v>
      </c>
      <c r="S85" s="31">
        <v>41047.0</v>
      </c>
    </row>
    <row r="86" ht="15.75" hidden="1" customHeight="1">
      <c r="A86" s="18" t="s">
        <v>122</v>
      </c>
      <c r="B86" s="19" t="s">
        <v>123</v>
      </c>
      <c r="C86" s="20">
        <v>50.99774761</v>
      </c>
      <c r="D86" s="21">
        <v>14351.0</v>
      </c>
      <c r="E86" s="22">
        <v>16239.999999999998</v>
      </c>
      <c r="F86" s="22">
        <v>8800.0</v>
      </c>
      <c r="G86" s="23">
        <f t="shared" si="1"/>
        <v>0.5418719212</v>
      </c>
      <c r="H86" s="23" t="str">
        <f t="shared" si="2"/>
        <v>POOR</v>
      </c>
      <c r="I86" s="20">
        <v>2.0</v>
      </c>
      <c r="J86" s="20">
        <v>125.0</v>
      </c>
      <c r="K86" s="20" t="str">
        <f t="array" ref="K86">IFS(J86&gt;299,"High HP",J86&gt;99,"Medium HP",J86&lt;100,"Low HP")</f>
        <v>Medium HP</v>
      </c>
      <c r="L86" s="20" t="s">
        <v>21</v>
      </c>
      <c r="M86" s="20">
        <v>28.0</v>
      </c>
      <c r="N86" s="20">
        <v>106.5</v>
      </c>
      <c r="O86" s="20">
        <v>69.1</v>
      </c>
      <c r="P86" s="20">
        <v>184.8</v>
      </c>
      <c r="Q86" s="20">
        <v>2.769</v>
      </c>
      <c r="R86" s="20">
        <v>15.0</v>
      </c>
      <c r="S86" s="24">
        <v>41262.0</v>
      </c>
    </row>
    <row r="87" ht="15.75" hidden="1" customHeight="1">
      <c r="A87" s="25" t="s">
        <v>122</v>
      </c>
      <c r="B87" s="26" t="s">
        <v>124</v>
      </c>
      <c r="C87" s="27">
        <v>51.11347426</v>
      </c>
      <c r="D87" s="28">
        <v>26529.0</v>
      </c>
      <c r="E87" s="29">
        <v>16540.0</v>
      </c>
      <c r="F87" s="29">
        <v>13890.0</v>
      </c>
      <c r="G87" s="30">
        <f t="shared" si="1"/>
        <v>0.8397823458</v>
      </c>
      <c r="H87" s="30" t="str">
        <f t="shared" si="2"/>
        <v>GOOD</v>
      </c>
      <c r="I87" s="27">
        <v>2.0</v>
      </c>
      <c r="J87" s="27">
        <v>125.0</v>
      </c>
      <c r="K87" s="27" t="str">
        <f t="array" ref="K87">IFS(J87&gt;299,"High HP",J87&gt;99,"Medium HP",J87&lt;100,"Low HP")</f>
        <v>Medium HP</v>
      </c>
      <c r="L87" s="27" t="s">
        <v>21</v>
      </c>
      <c r="M87" s="27">
        <v>30.0</v>
      </c>
      <c r="N87" s="27">
        <v>106.4</v>
      </c>
      <c r="O87" s="27">
        <v>69.6</v>
      </c>
      <c r="P87" s="27">
        <v>185.0</v>
      </c>
      <c r="Q87" s="27">
        <v>2.892</v>
      </c>
      <c r="R87" s="27">
        <v>16.0</v>
      </c>
      <c r="S87" s="31">
        <v>40962.0</v>
      </c>
    </row>
    <row r="88" ht="15.75" hidden="1" customHeight="1">
      <c r="A88" s="18" t="s">
        <v>122</v>
      </c>
      <c r="B88" s="19" t="s">
        <v>125</v>
      </c>
      <c r="C88" s="20">
        <v>62.23996663</v>
      </c>
      <c r="D88" s="21">
        <v>67956.0</v>
      </c>
      <c r="E88" s="22">
        <v>19035.0</v>
      </c>
      <c r="F88" s="22">
        <v>11030.0</v>
      </c>
      <c r="G88" s="23">
        <f t="shared" si="1"/>
        <v>0.5794588915</v>
      </c>
      <c r="H88" s="23" t="str">
        <f t="shared" si="2"/>
        <v>POOR</v>
      </c>
      <c r="I88" s="20">
        <v>3.0</v>
      </c>
      <c r="J88" s="20">
        <v>153.0</v>
      </c>
      <c r="K88" s="20" t="str">
        <f t="array" ref="K88">IFS(J88&gt;299,"High HP",J88&gt;99,"Medium HP",J88&lt;100,"Low HP")</f>
        <v>Medium HP</v>
      </c>
      <c r="L88" s="20" t="s">
        <v>21</v>
      </c>
      <c r="M88" s="20">
        <v>24.0</v>
      </c>
      <c r="N88" s="20">
        <v>108.5</v>
      </c>
      <c r="O88" s="20">
        <v>73.0</v>
      </c>
      <c r="P88" s="20">
        <v>199.7</v>
      </c>
      <c r="Q88" s="20">
        <v>3.379</v>
      </c>
      <c r="R88" s="20">
        <v>16.0</v>
      </c>
      <c r="S88" s="24">
        <v>41174.0</v>
      </c>
    </row>
    <row r="89" ht="15.75" hidden="1" customHeight="1">
      <c r="A89" s="25" t="s">
        <v>122</v>
      </c>
      <c r="B89" s="26" t="s">
        <v>126</v>
      </c>
      <c r="C89" s="27">
        <v>80.65769646</v>
      </c>
      <c r="D89" s="28">
        <v>81174.0</v>
      </c>
      <c r="E89" s="29">
        <v>22605.0</v>
      </c>
      <c r="F89" s="29">
        <v>14875.0</v>
      </c>
      <c r="G89" s="30">
        <f t="shared" si="1"/>
        <v>0.6580402566</v>
      </c>
      <c r="H89" s="30" t="str">
        <f t="shared" si="2"/>
        <v>POOR</v>
      </c>
      <c r="I89" s="27">
        <v>4.6</v>
      </c>
      <c r="J89" s="27">
        <v>200.0</v>
      </c>
      <c r="K89" s="27" t="str">
        <f t="array" ref="K89">IFS(J89&gt;299,"High HP",J89&gt;99,"Medium HP",J89&lt;100,"Low HP")</f>
        <v>Medium HP</v>
      </c>
      <c r="L89" s="27" t="s">
        <v>21</v>
      </c>
      <c r="M89" s="27">
        <v>21.0</v>
      </c>
      <c r="N89" s="27">
        <v>114.7</v>
      </c>
      <c r="O89" s="27">
        <v>78.2</v>
      </c>
      <c r="P89" s="27">
        <v>212.0</v>
      </c>
      <c r="Q89" s="27">
        <v>3.958</v>
      </c>
      <c r="R89" s="27">
        <v>19.0</v>
      </c>
      <c r="S89" s="31">
        <v>41114.0</v>
      </c>
    </row>
    <row r="90" ht="15.75" hidden="1" customHeight="1">
      <c r="A90" s="18" t="s">
        <v>122</v>
      </c>
      <c r="B90" s="19" t="s">
        <v>127</v>
      </c>
      <c r="C90" s="20">
        <v>85.94974425</v>
      </c>
      <c r="D90" s="21">
        <v>27609.0</v>
      </c>
      <c r="E90" s="22">
        <v>27560.0</v>
      </c>
      <c r="F90" s="22">
        <v>20430.0</v>
      </c>
      <c r="G90" s="23">
        <f t="shared" si="1"/>
        <v>0.7412917271</v>
      </c>
      <c r="H90" s="23" t="str">
        <f t="shared" si="2"/>
        <v>GOOD</v>
      </c>
      <c r="I90" s="20">
        <v>4.0</v>
      </c>
      <c r="J90" s="20">
        <v>210.0</v>
      </c>
      <c r="K90" s="20" t="str">
        <f t="array" ref="K90">IFS(J90&gt;299,"High HP",J90&gt;99,"Medium HP",J90&lt;100,"Low HP")</f>
        <v>Medium HP</v>
      </c>
      <c r="L90" s="20" t="s">
        <v>43</v>
      </c>
      <c r="M90" s="20">
        <v>18.0</v>
      </c>
      <c r="N90" s="20">
        <v>111.6</v>
      </c>
      <c r="O90" s="20">
        <v>70.2</v>
      </c>
      <c r="P90" s="20">
        <v>190.1</v>
      </c>
      <c r="Q90" s="20">
        <v>3.876</v>
      </c>
      <c r="R90" s="20">
        <v>21.0</v>
      </c>
      <c r="S90" s="24">
        <v>39491.0</v>
      </c>
    </row>
    <row r="91" ht="15.75" hidden="1" customHeight="1">
      <c r="A91" s="25" t="s">
        <v>122</v>
      </c>
      <c r="B91" s="26" t="s">
        <v>128</v>
      </c>
      <c r="C91" s="27">
        <v>69.671461</v>
      </c>
      <c r="D91" s="28">
        <v>20380.0</v>
      </c>
      <c r="E91" s="29">
        <v>22510.0</v>
      </c>
      <c r="F91" s="29">
        <v>14795.0</v>
      </c>
      <c r="G91" s="30">
        <f t="shared" si="1"/>
        <v>0.6572634385</v>
      </c>
      <c r="H91" s="30" t="str">
        <f t="shared" si="2"/>
        <v>POOR</v>
      </c>
      <c r="I91" s="27">
        <v>3.3</v>
      </c>
      <c r="J91" s="27">
        <v>170.0</v>
      </c>
      <c r="K91" s="27" t="str">
        <f t="array" ref="K91">IFS(J91&gt;299,"High HP",J91&gt;99,"Medium HP",J91&lt;100,"Low HP")</f>
        <v>Medium HP</v>
      </c>
      <c r="L91" s="27" t="s">
        <v>43</v>
      </c>
      <c r="M91" s="27">
        <v>21.0</v>
      </c>
      <c r="N91" s="27">
        <v>112.2</v>
      </c>
      <c r="O91" s="27">
        <v>74.9</v>
      </c>
      <c r="P91" s="27">
        <v>194.7</v>
      </c>
      <c r="Q91" s="27">
        <v>3.944</v>
      </c>
      <c r="R91" s="27">
        <v>20.0</v>
      </c>
      <c r="S91" s="31">
        <v>40106.0</v>
      </c>
    </row>
    <row r="92" ht="15.75" hidden="1" customHeight="1">
      <c r="A92" s="18" t="s">
        <v>129</v>
      </c>
      <c r="B92" s="19" t="s">
        <v>130</v>
      </c>
      <c r="C92" s="20">
        <v>78.28073088</v>
      </c>
      <c r="D92" s="21">
        <v>18392.0</v>
      </c>
      <c r="E92" s="22">
        <v>31750.0</v>
      </c>
      <c r="F92" s="22">
        <v>26050.0</v>
      </c>
      <c r="G92" s="23">
        <f t="shared" si="1"/>
        <v>0.8204724409</v>
      </c>
      <c r="H92" s="23" t="str">
        <f t="shared" si="2"/>
        <v>GOOD</v>
      </c>
      <c r="I92" s="20">
        <v>2.3</v>
      </c>
      <c r="J92" s="20">
        <v>185.0</v>
      </c>
      <c r="K92" s="20" t="str">
        <f t="array" ref="K92">IFS(J92&gt;299,"High HP",J92&gt;99,"Medium HP",J92&lt;100,"Low HP")</f>
        <v>Medium HP</v>
      </c>
      <c r="L92" s="20" t="s">
        <v>21</v>
      </c>
      <c r="M92" s="20">
        <v>26.0</v>
      </c>
      <c r="N92" s="20">
        <v>105.9</v>
      </c>
      <c r="O92" s="20">
        <v>67.7</v>
      </c>
      <c r="P92" s="20">
        <v>177.4</v>
      </c>
      <c r="Q92" s="20">
        <v>3.25</v>
      </c>
      <c r="R92" s="20">
        <v>16.4</v>
      </c>
      <c r="S92" s="24">
        <v>40657.0</v>
      </c>
    </row>
    <row r="93" ht="15.75" hidden="1" customHeight="1">
      <c r="A93" s="25" t="s">
        <v>129</v>
      </c>
      <c r="B93" s="26" t="s">
        <v>131</v>
      </c>
      <c r="C93" s="27">
        <v>98.2497375</v>
      </c>
      <c r="D93" s="28">
        <v>27602.0</v>
      </c>
      <c r="E93" s="29">
        <v>49900.0</v>
      </c>
      <c r="F93" s="29">
        <v>41450.0</v>
      </c>
      <c r="G93" s="30">
        <f t="shared" si="1"/>
        <v>0.8306613226</v>
      </c>
      <c r="H93" s="30" t="str">
        <f t="shared" si="2"/>
        <v>GOOD</v>
      </c>
      <c r="I93" s="27">
        <v>3.2</v>
      </c>
      <c r="J93" s="27">
        <v>221.0</v>
      </c>
      <c r="K93" s="27" t="str">
        <f t="array" ref="K93">IFS(J93&gt;299,"High HP",J93&gt;99,"Medium HP",J93&lt;100,"Low HP")</f>
        <v>Medium HP</v>
      </c>
      <c r="L93" s="27" t="s">
        <v>21</v>
      </c>
      <c r="M93" s="27">
        <v>25.0</v>
      </c>
      <c r="N93" s="27">
        <v>111.5</v>
      </c>
      <c r="O93" s="27">
        <v>70.8</v>
      </c>
      <c r="P93" s="27">
        <v>189.4</v>
      </c>
      <c r="Q93" s="27">
        <v>3.823</v>
      </c>
      <c r="R93" s="27">
        <v>21.1</v>
      </c>
      <c r="S93" s="31">
        <v>40736.0</v>
      </c>
    </row>
    <row r="94" ht="15.75" hidden="1" customHeight="1">
      <c r="A94" s="18" t="s">
        <v>129</v>
      </c>
      <c r="B94" s="19" t="s">
        <v>132</v>
      </c>
      <c r="C94" s="20">
        <v>125.2738757</v>
      </c>
      <c r="D94" s="21">
        <v>16774.0</v>
      </c>
      <c r="E94" s="22">
        <v>69700.0</v>
      </c>
      <c r="F94" s="22">
        <v>50375.0</v>
      </c>
      <c r="G94" s="23">
        <f t="shared" si="1"/>
        <v>0.7227403156</v>
      </c>
      <c r="H94" s="23" t="str">
        <f t="shared" si="2"/>
        <v>GOOD</v>
      </c>
      <c r="I94" s="20">
        <v>4.3</v>
      </c>
      <c r="J94" s="20">
        <v>275.0</v>
      </c>
      <c r="K94" s="20" t="str">
        <f t="array" ref="K94">IFS(J94&gt;299,"High HP",J94&gt;99,"Medium HP",J94&lt;100,"Low HP")</f>
        <v>Medium HP</v>
      </c>
      <c r="L94" s="20" t="s">
        <v>21</v>
      </c>
      <c r="M94" s="20">
        <v>21.0</v>
      </c>
      <c r="N94" s="20">
        <v>121.5</v>
      </c>
      <c r="O94" s="20">
        <v>73.1</v>
      </c>
      <c r="P94" s="20">
        <v>203.1</v>
      </c>
      <c r="Q94" s="20">
        <v>4.133</v>
      </c>
      <c r="R94" s="20">
        <v>23.2</v>
      </c>
      <c r="S94" s="24">
        <v>40707.0</v>
      </c>
    </row>
    <row r="95" ht="15.75" hidden="1" customHeight="1">
      <c r="A95" s="25" t="s">
        <v>129</v>
      </c>
      <c r="B95" s="26" t="s">
        <v>133</v>
      </c>
      <c r="C95" s="27">
        <v>139.9822936</v>
      </c>
      <c r="D95" s="28">
        <v>3311.0</v>
      </c>
      <c r="E95" s="29">
        <v>82600.0</v>
      </c>
      <c r="F95" s="29">
        <v>58600.0</v>
      </c>
      <c r="G95" s="30">
        <f t="shared" si="1"/>
        <v>0.7094430993</v>
      </c>
      <c r="H95" s="30" t="str">
        <f t="shared" si="2"/>
        <v>GOOD</v>
      </c>
      <c r="I95" s="27">
        <v>5.0</v>
      </c>
      <c r="J95" s="27">
        <v>302.0</v>
      </c>
      <c r="K95" s="27" t="str">
        <f t="array" ref="K95">IFS(J95&gt;299,"High HP",J95&gt;99,"Medium HP",J95&lt;100,"Low HP")</f>
        <v>High HP</v>
      </c>
      <c r="L95" s="27" t="s">
        <v>21</v>
      </c>
      <c r="M95" s="27">
        <v>20.0</v>
      </c>
      <c r="N95" s="27">
        <v>99.0</v>
      </c>
      <c r="O95" s="27">
        <v>71.3</v>
      </c>
      <c r="P95" s="27">
        <v>177.1</v>
      </c>
      <c r="Q95" s="27">
        <v>4.125</v>
      </c>
      <c r="R95" s="27">
        <v>21.1</v>
      </c>
      <c r="S95" s="31">
        <v>40619.0</v>
      </c>
    </row>
    <row r="96" ht="15.75" hidden="1" customHeight="1">
      <c r="A96" s="18" t="s">
        <v>129</v>
      </c>
      <c r="B96" s="19" t="s">
        <v>134</v>
      </c>
      <c r="C96" s="20">
        <v>82.80736193</v>
      </c>
      <c r="D96" s="21">
        <v>7998.0</v>
      </c>
      <c r="E96" s="22">
        <v>38900.0</v>
      </c>
      <c r="F96" s="22">
        <v>32436.0</v>
      </c>
      <c r="G96" s="23">
        <f t="shared" si="1"/>
        <v>0.8338303342</v>
      </c>
      <c r="H96" s="23" t="str">
        <f t="shared" si="2"/>
        <v>GOOD</v>
      </c>
      <c r="I96" s="20">
        <v>2.3</v>
      </c>
      <c r="J96" s="20">
        <v>190.0</v>
      </c>
      <c r="K96" s="20" t="str">
        <f t="array" ref="K96">IFS(J96&gt;299,"High HP",J96&gt;99,"Medium HP",J96&lt;100,"Low HP")</f>
        <v>Medium HP</v>
      </c>
      <c r="L96" s="20" t="s">
        <v>21</v>
      </c>
      <c r="M96" s="20">
        <v>26.0</v>
      </c>
      <c r="N96" s="20">
        <v>94.5</v>
      </c>
      <c r="O96" s="20">
        <v>67.5</v>
      </c>
      <c r="P96" s="20">
        <v>157.9</v>
      </c>
      <c r="Q96" s="20">
        <v>3.055</v>
      </c>
      <c r="R96" s="20">
        <v>15.9</v>
      </c>
      <c r="S96" s="24">
        <v>40559.0</v>
      </c>
    </row>
    <row r="97" ht="15.75" hidden="1" customHeight="1">
      <c r="A97" s="25" t="s">
        <v>129</v>
      </c>
      <c r="B97" s="26" t="s">
        <v>135</v>
      </c>
      <c r="C97" s="27">
        <v>81.84896924</v>
      </c>
      <c r="D97" s="28">
        <v>1526.0</v>
      </c>
      <c r="E97" s="29">
        <v>41000.0</v>
      </c>
      <c r="F97" s="29">
        <v>28635.0</v>
      </c>
      <c r="G97" s="30">
        <f t="shared" si="1"/>
        <v>0.6984146341</v>
      </c>
      <c r="H97" s="30" t="str">
        <f t="shared" si="2"/>
        <v>GOOD</v>
      </c>
      <c r="I97" s="27">
        <v>2.3</v>
      </c>
      <c r="J97" s="27">
        <v>185.0</v>
      </c>
      <c r="K97" s="27" t="str">
        <f t="array" ref="K97">IFS(J97&gt;299,"High HP",J97&gt;99,"Medium HP",J97&lt;100,"Low HP")</f>
        <v>Medium HP</v>
      </c>
      <c r="L97" s="27" t="s">
        <v>21</v>
      </c>
      <c r="M97" s="27">
        <v>27.0</v>
      </c>
      <c r="N97" s="27">
        <v>94.5</v>
      </c>
      <c r="O97" s="27">
        <v>67.5</v>
      </c>
      <c r="P97" s="27">
        <v>157.3</v>
      </c>
      <c r="Q97" s="27">
        <v>2.975</v>
      </c>
      <c r="R97" s="27">
        <v>14.0</v>
      </c>
      <c r="S97" s="31">
        <v>40761.0</v>
      </c>
    </row>
    <row r="98" ht="15.75" hidden="1" customHeight="1">
      <c r="A98" s="18" t="s">
        <v>129</v>
      </c>
      <c r="B98" s="19" t="s">
        <v>136</v>
      </c>
      <c r="C98" s="20">
        <v>92.92579177</v>
      </c>
      <c r="D98" s="21">
        <v>11592.0</v>
      </c>
      <c r="E98" s="22">
        <v>41600.0</v>
      </c>
      <c r="F98" s="22">
        <v>29200.0</v>
      </c>
      <c r="G98" s="23">
        <f t="shared" si="1"/>
        <v>0.7019230769</v>
      </c>
      <c r="H98" s="23" t="str">
        <f t="shared" si="2"/>
        <v>GOOD</v>
      </c>
      <c r="I98" s="20">
        <v>3.2</v>
      </c>
      <c r="J98" s="20">
        <v>215.0</v>
      </c>
      <c r="K98" s="20" t="str">
        <f t="array" ref="K98">IFS(J98&gt;299,"High HP",J98&gt;99,"Medium HP",J98&lt;100,"Low HP")</f>
        <v>Medium HP</v>
      </c>
      <c r="L98" s="20" t="s">
        <v>21</v>
      </c>
      <c r="M98" s="20">
        <v>26.0</v>
      </c>
      <c r="N98" s="20">
        <v>105.9</v>
      </c>
      <c r="O98" s="20">
        <v>67.8</v>
      </c>
      <c r="P98" s="20">
        <v>180.3</v>
      </c>
      <c r="Q98" s="20">
        <v>3.213</v>
      </c>
      <c r="R98" s="20">
        <v>16.4</v>
      </c>
      <c r="S98" s="24">
        <v>40732.0</v>
      </c>
    </row>
    <row r="99" ht="15.75" hidden="1" customHeight="1">
      <c r="A99" s="25" t="s">
        <v>129</v>
      </c>
      <c r="B99" s="26" t="s">
        <v>137</v>
      </c>
      <c r="C99" s="27">
        <v>141.1009845</v>
      </c>
      <c r="D99" s="28">
        <v>954.0</v>
      </c>
      <c r="E99" s="29">
        <v>85500.0</v>
      </c>
      <c r="F99" s="29">
        <v>63423.0</v>
      </c>
      <c r="G99" s="30">
        <f t="shared" si="1"/>
        <v>0.7417894737</v>
      </c>
      <c r="H99" s="30" t="str">
        <f t="shared" si="2"/>
        <v>GOOD</v>
      </c>
      <c r="I99" s="27">
        <v>5.0</v>
      </c>
      <c r="J99" s="27">
        <v>302.0</v>
      </c>
      <c r="K99" s="27" t="str">
        <f t="array" ref="K99">IFS(J99&gt;299,"High HP",J99&gt;99,"Medium HP",J99&lt;100,"Low HP")</f>
        <v>High HP</v>
      </c>
      <c r="L99" s="27" t="s">
        <v>21</v>
      </c>
      <c r="M99" s="27">
        <v>20.0</v>
      </c>
      <c r="N99" s="27">
        <v>113.6</v>
      </c>
      <c r="O99" s="27">
        <v>73.1</v>
      </c>
      <c r="P99" s="27">
        <v>196.6</v>
      </c>
      <c r="Q99" s="27">
        <v>4.115</v>
      </c>
      <c r="R99" s="27">
        <v>23.2</v>
      </c>
      <c r="S99" s="31">
        <v>40644.0</v>
      </c>
    </row>
    <row r="100" ht="15.75" hidden="1" customHeight="1">
      <c r="A100" s="18" t="s">
        <v>129</v>
      </c>
      <c r="B100" s="19" t="s">
        <v>138</v>
      </c>
      <c r="C100" s="20">
        <v>90.49553213</v>
      </c>
      <c r="D100" s="21">
        <v>28976.0</v>
      </c>
      <c r="E100" s="22">
        <v>35300.0</v>
      </c>
      <c r="F100" s="22">
        <v>28720.0</v>
      </c>
      <c r="G100" s="23">
        <f t="shared" si="1"/>
        <v>0.8135977337</v>
      </c>
      <c r="H100" s="23" t="str">
        <f t="shared" si="2"/>
        <v>GOOD</v>
      </c>
      <c r="I100" s="20">
        <v>3.2</v>
      </c>
      <c r="J100" s="20">
        <v>215.0</v>
      </c>
      <c r="K100" s="20" t="str">
        <f t="array" ref="K100">IFS(J100&gt;299,"High HP",J100&gt;99,"Medium HP",J100&lt;100,"Low HP")</f>
        <v>Medium HP</v>
      </c>
      <c r="L100" s="20" t="s">
        <v>43</v>
      </c>
      <c r="M100" s="20">
        <v>20.0</v>
      </c>
      <c r="N100" s="20">
        <v>111.0</v>
      </c>
      <c r="O100" s="20">
        <v>72.2</v>
      </c>
      <c r="P100" s="20">
        <v>180.6</v>
      </c>
      <c r="Q100" s="20">
        <v>4.387</v>
      </c>
      <c r="R100" s="20">
        <v>19.0</v>
      </c>
      <c r="S100" s="24">
        <v>40584.0</v>
      </c>
    </row>
    <row r="101" ht="15.75" hidden="1" customHeight="1">
      <c r="A101" s="25" t="s">
        <v>139</v>
      </c>
      <c r="B101" s="26" t="s">
        <v>140</v>
      </c>
      <c r="C101" s="27">
        <v>50.24197791</v>
      </c>
      <c r="D101" s="28">
        <v>42643.0</v>
      </c>
      <c r="E101" s="29">
        <v>13499.0</v>
      </c>
      <c r="F101" s="29">
        <v>8450.0</v>
      </c>
      <c r="G101" s="30">
        <f t="shared" si="1"/>
        <v>0.6259722942</v>
      </c>
      <c r="H101" s="30" t="str">
        <f t="shared" si="2"/>
        <v>POOR</v>
      </c>
      <c r="I101" s="27">
        <v>1.8</v>
      </c>
      <c r="J101" s="27">
        <v>126.0</v>
      </c>
      <c r="K101" s="27" t="str">
        <f t="array" ref="K101">IFS(J101&gt;299,"High HP",J101&gt;99,"Medium HP",J101&lt;100,"Low HP")</f>
        <v>Medium HP</v>
      </c>
      <c r="L101" s="27" t="s">
        <v>21</v>
      </c>
      <c r="M101" s="27">
        <v>30.0</v>
      </c>
      <c r="N101" s="27">
        <v>99.8</v>
      </c>
      <c r="O101" s="27">
        <v>67.3</v>
      </c>
      <c r="P101" s="27">
        <v>177.5</v>
      </c>
      <c r="Q101" s="27">
        <v>2.593</v>
      </c>
      <c r="R101" s="27">
        <v>13.2</v>
      </c>
      <c r="S101" s="31">
        <v>40786.0</v>
      </c>
    </row>
    <row r="102" ht="15.75" hidden="1" customHeight="1">
      <c r="A102" s="18" t="s">
        <v>139</v>
      </c>
      <c r="B102" s="19" t="s">
        <v>141</v>
      </c>
      <c r="C102" s="20">
        <v>63.31372783</v>
      </c>
      <c r="D102" s="21">
        <v>88094.0</v>
      </c>
      <c r="E102" s="22">
        <v>20390.0</v>
      </c>
      <c r="F102" s="22">
        <v>11295.0</v>
      </c>
      <c r="G102" s="23">
        <f t="shared" si="1"/>
        <v>0.5539480137</v>
      </c>
      <c r="H102" s="23" t="str">
        <f t="shared" si="2"/>
        <v>POOR</v>
      </c>
      <c r="I102" s="20">
        <v>2.4</v>
      </c>
      <c r="J102" s="20">
        <v>155.0</v>
      </c>
      <c r="K102" s="20" t="str">
        <f t="array" ref="K102">IFS(J102&gt;299,"High HP",J102&gt;99,"Medium HP",J102&lt;100,"Low HP")</f>
        <v>Medium HP</v>
      </c>
      <c r="L102" s="20" t="s">
        <v>21</v>
      </c>
      <c r="M102" s="20">
        <v>25.0</v>
      </c>
      <c r="N102" s="20">
        <v>103.1</v>
      </c>
      <c r="O102" s="20">
        <v>69.1</v>
      </c>
      <c r="P102" s="20">
        <v>183.5</v>
      </c>
      <c r="Q102" s="20">
        <v>3.012</v>
      </c>
      <c r="R102" s="20">
        <v>15.9</v>
      </c>
      <c r="S102" s="24">
        <v>40757.0</v>
      </c>
    </row>
    <row r="103" ht="15.75" hidden="1" customHeight="1">
      <c r="A103" s="25" t="s">
        <v>139</v>
      </c>
      <c r="B103" s="26" t="s">
        <v>142</v>
      </c>
      <c r="C103" s="27">
        <v>89.42782031</v>
      </c>
      <c r="D103" s="28">
        <v>79853.0</v>
      </c>
      <c r="E103" s="29">
        <v>26249.0</v>
      </c>
      <c r="F103" s="29">
        <v>15125.0</v>
      </c>
      <c r="G103" s="30">
        <f t="shared" si="1"/>
        <v>0.5762124271</v>
      </c>
      <c r="H103" s="30" t="str">
        <f t="shared" si="2"/>
        <v>POOR</v>
      </c>
      <c r="I103" s="27">
        <v>3.0</v>
      </c>
      <c r="J103" s="27">
        <v>222.0</v>
      </c>
      <c r="K103" s="27" t="str">
        <f t="array" ref="K103">IFS(J103&gt;299,"High HP",J103&gt;99,"Medium HP",J103&lt;100,"Low HP")</f>
        <v>Medium HP</v>
      </c>
      <c r="L103" s="27" t="s">
        <v>21</v>
      </c>
      <c r="M103" s="27">
        <v>25.0</v>
      </c>
      <c r="N103" s="27">
        <v>108.3</v>
      </c>
      <c r="O103" s="27">
        <v>70.3</v>
      </c>
      <c r="P103" s="27">
        <v>190.5</v>
      </c>
      <c r="Q103" s="27">
        <v>3.294</v>
      </c>
      <c r="R103" s="27">
        <v>18.5</v>
      </c>
      <c r="S103" s="31">
        <v>40669.0</v>
      </c>
    </row>
    <row r="104" ht="15.75" hidden="1" customHeight="1">
      <c r="A104" s="18" t="s">
        <v>139</v>
      </c>
      <c r="B104" s="19" t="s">
        <v>143</v>
      </c>
      <c r="C104" s="20">
        <v>71.17166413</v>
      </c>
      <c r="D104" s="21">
        <v>27308.0</v>
      </c>
      <c r="E104" s="22">
        <v>26399.0</v>
      </c>
      <c r="F104" s="22">
        <v>15380.0</v>
      </c>
      <c r="G104" s="23">
        <f t="shared" si="1"/>
        <v>0.5825978257</v>
      </c>
      <c r="H104" s="23" t="str">
        <f t="shared" si="2"/>
        <v>POOR</v>
      </c>
      <c r="I104" s="20">
        <v>3.3</v>
      </c>
      <c r="J104" s="20">
        <v>170.0</v>
      </c>
      <c r="K104" s="20" t="str">
        <f t="array" ref="K104">IFS(J104&gt;299,"High HP",J104&gt;99,"Medium HP",J104&lt;100,"Low HP")</f>
        <v>Medium HP</v>
      </c>
      <c r="L104" s="20" t="s">
        <v>43</v>
      </c>
      <c r="M104" s="20">
        <v>21.0</v>
      </c>
      <c r="N104" s="20">
        <v>112.2</v>
      </c>
      <c r="O104" s="20">
        <v>74.9</v>
      </c>
      <c r="P104" s="20">
        <v>194.8</v>
      </c>
      <c r="Q104" s="20">
        <v>3.991</v>
      </c>
      <c r="R104" s="20">
        <v>20.0</v>
      </c>
      <c r="S104" s="24">
        <v>40609.0</v>
      </c>
    </row>
    <row r="105" ht="15.75" hidden="1" customHeight="1">
      <c r="A105" s="25" t="s">
        <v>139</v>
      </c>
      <c r="B105" s="26" t="s">
        <v>144</v>
      </c>
      <c r="C105" s="27">
        <v>72.29035508</v>
      </c>
      <c r="D105" s="28">
        <v>42574.0</v>
      </c>
      <c r="E105" s="29">
        <v>29299.0</v>
      </c>
      <c r="F105" s="29">
        <v>17810.0</v>
      </c>
      <c r="G105" s="30">
        <f t="shared" si="1"/>
        <v>0.6078705758</v>
      </c>
      <c r="H105" s="30" t="str">
        <f t="shared" si="2"/>
        <v>POOR</v>
      </c>
      <c r="I105" s="27">
        <v>3.3</v>
      </c>
      <c r="J105" s="27">
        <v>170.0</v>
      </c>
      <c r="K105" s="27" t="str">
        <f t="array" ref="K105">IFS(J105&gt;299,"High HP",J105&gt;99,"Medium HP",J105&lt;100,"Low HP")</f>
        <v>Medium HP</v>
      </c>
      <c r="L105" s="27" t="s">
        <v>43</v>
      </c>
      <c r="M105" s="27">
        <v>19.0</v>
      </c>
      <c r="N105" s="27">
        <v>106.3</v>
      </c>
      <c r="O105" s="27">
        <v>71.7</v>
      </c>
      <c r="P105" s="27">
        <v>182.6</v>
      </c>
      <c r="Q105" s="27">
        <v>3.947</v>
      </c>
      <c r="R105" s="27">
        <v>21.0</v>
      </c>
      <c r="S105" s="31">
        <v>40811.0</v>
      </c>
    </row>
    <row r="106" ht="15.75" hidden="1" customHeight="1">
      <c r="A106" s="18" t="s">
        <v>139</v>
      </c>
      <c r="B106" s="19" t="s">
        <v>145</v>
      </c>
      <c r="C106" s="20">
        <v>69.78294434</v>
      </c>
      <c r="D106" s="21">
        <v>54158.0</v>
      </c>
      <c r="E106" s="22">
        <v>22799.0</v>
      </c>
      <c r="F106" s="22">
        <v>13093.0</v>
      </c>
      <c r="G106" s="23">
        <f t="shared" si="1"/>
        <v>0.5742795737</v>
      </c>
      <c r="H106" s="23" t="str">
        <f t="shared" si="2"/>
        <v>POOR</v>
      </c>
      <c r="I106" s="20">
        <v>3.3</v>
      </c>
      <c r="J106" s="20">
        <v>170.0</v>
      </c>
      <c r="K106" s="20" t="str">
        <f t="array" ref="K106">IFS(J106&gt;299,"High HP",J106&gt;99,"Medium HP",J106&lt;100,"Low HP")</f>
        <v>Medium HP</v>
      </c>
      <c r="L106" s="20" t="s">
        <v>43</v>
      </c>
      <c r="M106" s="20">
        <v>18.0</v>
      </c>
      <c r="N106" s="20">
        <v>104.3</v>
      </c>
      <c r="O106" s="20">
        <v>70.4</v>
      </c>
      <c r="P106" s="20">
        <v>178.0</v>
      </c>
      <c r="Q106" s="20">
        <v>3.821</v>
      </c>
      <c r="R106" s="20">
        <v>19.4</v>
      </c>
      <c r="S106" s="24">
        <v>40567.0</v>
      </c>
    </row>
    <row r="107" ht="15.75" hidden="1" customHeight="1">
      <c r="A107" s="25" t="s">
        <v>139</v>
      </c>
      <c r="B107" s="26" t="s">
        <v>146</v>
      </c>
      <c r="C107" s="27">
        <v>67.88927059</v>
      </c>
      <c r="D107" s="28">
        <v>65004.99999999999</v>
      </c>
      <c r="E107" s="29">
        <v>17890.0</v>
      </c>
      <c r="F107" s="29">
        <v>10670.0</v>
      </c>
      <c r="G107" s="30">
        <f t="shared" si="1"/>
        <v>0.5964225824</v>
      </c>
      <c r="H107" s="30" t="str">
        <f t="shared" si="2"/>
        <v>POOR</v>
      </c>
      <c r="I107" s="27">
        <v>3.3</v>
      </c>
      <c r="J107" s="27">
        <v>170.0</v>
      </c>
      <c r="K107" s="27" t="str">
        <f t="array" ref="K107">IFS(J107&gt;299,"High HP",J107&gt;99,"Medium HP",J107&lt;100,"Low HP")</f>
        <v>Medium HP</v>
      </c>
      <c r="L107" s="27" t="s">
        <v>43</v>
      </c>
      <c r="M107" s="27">
        <v>18.0</v>
      </c>
      <c r="N107" s="27">
        <v>116.1</v>
      </c>
      <c r="O107" s="27">
        <v>66.5</v>
      </c>
      <c r="P107" s="27">
        <v>196.1</v>
      </c>
      <c r="Q107" s="27">
        <v>3.217</v>
      </c>
      <c r="R107" s="27">
        <v>19.4</v>
      </c>
      <c r="S107" s="31">
        <v>40782.0</v>
      </c>
    </row>
    <row r="108" ht="15.75" hidden="1" customHeight="1">
      <c r="A108" s="18" t="s">
        <v>147</v>
      </c>
      <c r="B108" s="19" t="s">
        <v>148</v>
      </c>
      <c r="C108" s="20">
        <v>60.86161155</v>
      </c>
      <c r="D108" s="21">
        <v>1112.0</v>
      </c>
      <c r="E108" s="22">
        <v>18145.0</v>
      </c>
      <c r="F108" s="22">
        <v>11240.0</v>
      </c>
      <c r="G108" s="23">
        <f t="shared" si="1"/>
        <v>0.6194543952</v>
      </c>
      <c r="H108" s="23" t="str">
        <f t="shared" si="2"/>
        <v>POOR</v>
      </c>
      <c r="I108" s="20">
        <v>3.1</v>
      </c>
      <c r="J108" s="20">
        <v>150.0</v>
      </c>
      <c r="K108" s="20" t="str">
        <f t="array" ref="K108">IFS(J108&gt;299,"High HP",J108&gt;99,"Medium HP",J108&lt;100,"Low HP")</f>
        <v>Medium HP</v>
      </c>
      <c r="L108" s="20" t="s">
        <v>21</v>
      </c>
      <c r="M108" s="20">
        <v>25.0</v>
      </c>
      <c r="N108" s="20">
        <v>107.0</v>
      </c>
      <c r="O108" s="20">
        <v>69.4</v>
      </c>
      <c r="P108" s="20">
        <v>192.0</v>
      </c>
      <c r="Q108" s="20">
        <v>3.102</v>
      </c>
      <c r="R108" s="20">
        <v>15.2</v>
      </c>
      <c r="S108" s="24">
        <v>40694.0</v>
      </c>
    </row>
    <row r="109" ht="15.75" hidden="1" customHeight="1">
      <c r="A109" s="25" t="s">
        <v>147</v>
      </c>
      <c r="B109" s="26" t="s">
        <v>149</v>
      </c>
      <c r="C109" s="27">
        <v>86.27252291</v>
      </c>
      <c r="D109" s="28">
        <v>38554.0</v>
      </c>
      <c r="E109" s="29">
        <v>24150.0</v>
      </c>
      <c r="F109" s="29">
        <v>17100.0</v>
      </c>
      <c r="G109" s="30">
        <f t="shared" si="1"/>
        <v>0.7080745342</v>
      </c>
      <c r="H109" s="30" t="str">
        <f t="shared" si="2"/>
        <v>GOOD</v>
      </c>
      <c r="I109" s="27">
        <v>3.5</v>
      </c>
      <c r="J109" s="27">
        <v>215.0</v>
      </c>
      <c r="K109" s="27" t="str">
        <f t="array" ref="K109">IFS(J109&gt;299,"High HP",J109&gt;99,"Medium HP",J109&lt;100,"Low HP")</f>
        <v>Medium HP</v>
      </c>
      <c r="L109" s="27" t="s">
        <v>21</v>
      </c>
      <c r="M109" s="27">
        <v>23.0</v>
      </c>
      <c r="N109" s="27">
        <v>109.0</v>
      </c>
      <c r="O109" s="27">
        <v>73.6</v>
      </c>
      <c r="P109" s="27">
        <v>195.9</v>
      </c>
      <c r="Q109" s="27">
        <v>3.455</v>
      </c>
      <c r="R109" s="27">
        <v>18.0</v>
      </c>
      <c r="S109" s="31">
        <v>40634.0</v>
      </c>
    </row>
    <row r="110" ht="15.75" hidden="1" customHeight="1">
      <c r="A110" s="18" t="s">
        <v>147</v>
      </c>
      <c r="B110" s="19" t="s">
        <v>150</v>
      </c>
      <c r="C110" s="20">
        <v>60.72744693</v>
      </c>
      <c r="D110" s="21">
        <v>80255.0</v>
      </c>
      <c r="E110" s="22">
        <v>18270.0</v>
      </c>
      <c r="F110" s="22">
        <v>11459.0</v>
      </c>
      <c r="G110" s="23">
        <f t="shared" si="1"/>
        <v>0.6272030651</v>
      </c>
      <c r="H110" s="23" t="str">
        <f t="shared" si="2"/>
        <v>POOR</v>
      </c>
      <c r="I110" s="20">
        <v>2.4</v>
      </c>
      <c r="J110" s="20">
        <v>150.0</v>
      </c>
      <c r="K110" s="20" t="str">
        <f t="array" ref="K110">IFS(J110&gt;299,"High HP",J110&gt;99,"Medium HP",J110&lt;100,"Low HP")</f>
        <v>Medium HP</v>
      </c>
      <c r="L110" s="20" t="s">
        <v>21</v>
      </c>
      <c r="M110" s="20">
        <v>27.0</v>
      </c>
      <c r="N110" s="20">
        <v>107.0</v>
      </c>
      <c r="O110" s="20">
        <v>70.1</v>
      </c>
      <c r="P110" s="20">
        <v>186.7</v>
      </c>
      <c r="Q110" s="20">
        <v>2.958</v>
      </c>
      <c r="R110" s="20">
        <v>15.0</v>
      </c>
      <c r="S110" s="24">
        <v>40106.0</v>
      </c>
    </row>
    <row r="111" ht="15.75" hidden="1" customHeight="1">
      <c r="A111" s="25" t="s">
        <v>147</v>
      </c>
      <c r="B111" s="26" t="s">
        <v>151</v>
      </c>
      <c r="C111" s="27">
        <v>103.4416926</v>
      </c>
      <c r="D111" s="28">
        <v>14690.0</v>
      </c>
      <c r="E111" s="29">
        <v>36229.0</v>
      </c>
      <c r="F111" s="29">
        <v>19890.0</v>
      </c>
      <c r="G111" s="30">
        <f t="shared" si="1"/>
        <v>0.549007701</v>
      </c>
      <c r="H111" s="30" t="str">
        <f t="shared" si="2"/>
        <v>POOR</v>
      </c>
      <c r="I111" s="27">
        <v>4.0</v>
      </c>
      <c r="J111" s="27">
        <v>250.0</v>
      </c>
      <c r="K111" s="27" t="str">
        <f t="array" ref="K111">IFS(J111&gt;299,"High HP",J111&gt;99,"Medium HP",J111&lt;100,"Low HP")</f>
        <v>Medium HP</v>
      </c>
      <c r="L111" s="27" t="s">
        <v>21</v>
      </c>
      <c r="M111" s="27">
        <v>22.0</v>
      </c>
      <c r="N111" s="27">
        <v>113.8</v>
      </c>
      <c r="O111" s="27">
        <v>74.4</v>
      </c>
      <c r="P111" s="27">
        <v>205.4</v>
      </c>
      <c r="Q111" s="27">
        <v>3.967</v>
      </c>
      <c r="R111" s="27">
        <v>18.5</v>
      </c>
      <c r="S111" s="31">
        <v>40592.0</v>
      </c>
    </row>
    <row r="112" ht="15.75" hidden="1" customHeight="1">
      <c r="A112" s="18" t="s">
        <v>147</v>
      </c>
      <c r="B112" s="19" t="s">
        <v>152</v>
      </c>
      <c r="C112" s="20">
        <v>80.51167259</v>
      </c>
      <c r="D112" s="21">
        <v>20017.0</v>
      </c>
      <c r="E112" s="22">
        <v>31598.0</v>
      </c>
      <c r="F112" s="22">
        <v>19925.0</v>
      </c>
      <c r="G112" s="23">
        <f t="shared" si="1"/>
        <v>0.6305778847</v>
      </c>
      <c r="H112" s="23" t="str">
        <f t="shared" si="2"/>
        <v>POOR</v>
      </c>
      <c r="I112" s="20">
        <v>4.3</v>
      </c>
      <c r="J112" s="20">
        <v>190.0</v>
      </c>
      <c r="K112" s="20" t="str">
        <f t="array" ref="K112">IFS(J112&gt;299,"High HP",J112&gt;99,"Medium HP",J112&lt;100,"Low HP")</f>
        <v>Medium HP</v>
      </c>
      <c r="L112" s="20" t="s">
        <v>43</v>
      </c>
      <c r="M112" s="20">
        <v>19.0</v>
      </c>
      <c r="N112" s="20">
        <v>107.0</v>
      </c>
      <c r="O112" s="20">
        <v>67.8</v>
      </c>
      <c r="P112" s="20">
        <v>181.2</v>
      </c>
      <c r="Q112" s="20">
        <v>4.068</v>
      </c>
      <c r="R112" s="20">
        <v>17.5</v>
      </c>
      <c r="S112" s="24">
        <v>40807.0</v>
      </c>
    </row>
    <row r="113" ht="15.75" hidden="1" customHeight="1">
      <c r="A113" s="25" t="s">
        <v>147</v>
      </c>
      <c r="B113" s="26" t="s">
        <v>153</v>
      </c>
      <c r="C113" s="27">
        <v>76.09657042</v>
      </c>
      <c r="D113" s="28">
        <v>24361.0</v>
      </c>
      <c r="E113" s="29">
        <v>25345.0</v>
      </c>
      <c r="F113" s="29">
        <v>15240.0</v>
      </c>
      <c r="G113" s="30">
        <f t="shared" si="1"/>
        <v>0.601302032</v>
      </c>
      <c r="H113" s="30" t="str">
        <f t="shared" si="2"/>
        <v>POOR</v>
      </c>
      <c r="I113" s="27">
        <v>3.4</v>
      </c>
      <c r="J113" s="27">
        <v>185.0</v>
      </c>
      <c r="K113" s="27" t="str">
        <f t="array" ref="K113">IFS(J113&gt;299,"High HP",J113&gt;99,"Medium HP",J113&lt;100,"Low HP")</f>
        <v>Medium HP</v>
      </c>
      <c r="L113" s="27" t="s">
        <v>43</v>
      </c>
      <c r="M113" s="27">
        <v>22.0</v>
      </c>
      <c r="N113" s="27">
        <v>120.0</v>
      </c>
      <c r="O113" s="27">
        <v>72.2</v>
      </c>
      <c r="P113" s="27">
        <v>201.4</v>
      </c>
      <c r="Q113" s="27">
        <v>3.948</v>
      </c>
      <c r="R113" s="27">
        <v>25.0</v>
      </c>
      <c r="S113" s="31">
        <v>40719.0</v>
      </c>
    </row>
    <row r="114" ht="15.75" hidden="1" customHeight="1">
      <c r="A114" s="18" t="s">
        <v>154</v>
      </c>
      <c r="B114" s="19" t="s">
        <v>62</v>
      </c>
      <c r="C114" s="20">
        <v>52.08489875</v>
      </c>
      <c r="D114" s="21">
        <v>32734.0</v>
      </c>
      <c r="E114" s="22">
        <v>12640.0</v>
      </c>
      <c r="F114" s="22">
        <v>7750.0</v>
      </c>
      <c r="G114" s="23">
        <f t="shared" si="1"/>
        <v>0.6131329114</v>
      </c>
      <c r="H114" s="23" t="str">
        <f t="shared" si="2"/>
        <v>POOR</v>
      </c>
      <c r="I114" s="20">
        <v>2.0</v>
      </c>
      <c r="J114" s="20">
        <v>132.0</v>
      </c>
      <c r="K114" s="20" t="str">
        <f t="array" ref="K114">IFS(J114&gt;299,"High HP",J114&gt;99,"Medium HP",J114&lt;100,"Low HP")</f>
        <v>Medium HP</v>
      </c>
      <c r="L114" s="20" t="s">
        <v>21</v>
      </c>
      <c r="M114" s="20">
        <v>29.0</v>
      </c>
      <c r="N114" s="20">
        <v>105.0</v>
      </c>
      <c r="O114" s="20">
        <v>74.4</v>
      </c>
      <c r="P114" s="20">
        <v>174.4</v>
      </c>
      <c r="Q114" s="20">
        <v>2.559</v>
      </c>
      <c r="R114" s="20">
        <v>12.5</v>
      </c>
      <c r="S114" s="24">
        <v>40659.0</v>
      </c>
    </row>
    <row r="115" ht="15.75" hidden="1" customHeight="1">
      <c r="A115" s="25" t="s">
        <v>154</v>
      </c>
      <c r="B115" s="26" t="s">
        <v>155</v>
      </c>
      <c r="C115" s="27">
        <v>53.41189767</v>
      </c>
      <c r="D115" s="28">
        <v>5240.0</v>
      </c>
      <c r="E115" s="29">
        <v>16079.999999999998</v>
      </c>
      <c r="F115" s="29">
        <v>9800.0</v>
      </c>
      <c r="G115" s="30">
        <f t="shared" si="1"/>
        <v>0.6094527363</v>
      </c>
      <c r="H115" s="30" t="str">
        <f t="shared" si="2"/>
        <v>POOR</v>
      </c>
      <c r="I115" s="27">
        <v>2.0</v>
      </c>
      <c r="J115" s="27">
        <v>132.0</v>
      </c>
      <c r="K115" s="27" t="str">
        <f t="array" ref="K115">IFS(J115&gt;299,"High HP",J115&gt;99,"Medium HP",J115&lt;100,"Low HP")</f>
        <v>Medium HP</v>
      </c>
      <c r="L115" s="27" t="s">
        <v>21</v>
      </c>
      <c r="M115" s="27">
        <v>27.0</v>
      </c>
      <c r="N115" s="27">
        <v>108.0</v>
      </c>
      <c r="O115" s="27">
        <v>71.0</v>
      </c>
      <c r="P115" s="27">
        <v>186.3</v>
      </c>
      <c r="Q115" s="27">
        <v>2.942</v>
      </c>
      <c r="R115" s="27">
        <v>16.0</v>
      </c>
      <c r="S115" s="31">
        <v>40861.0</v>
      </c>
    </row>
    <row r="116" ht="15.75" hidden="1" customHeight="1">
      <c r="A116" s="18" t="s">
        <v>154</v>
      </c>
      <c r="B116" s="19" t="s">
        <v>156</v>
      </c>
      <c r="C116" s="20">
        <v>60.95118512</v>
      </c>
      <c r="D116" s="21">
        <v>24155.0</v>
      </c>
      <c r="E116" s="22">
        <v>18850.0</v>
      </c>
      <c r="F116" s="22">
        <v>12025.0</v>
      </c>
      <c r="G116" s="23">
        <f t="shared" si="1"/>
        <v>0.6379310345</v>
      </c>
      <c r="H116" s="23" t="str">
        <f t="shared" si="2"/>
        <v>POOR</v>
      </c>
      <c r="I116" s="20">
        <v>2.4</v>
      </c>
      <c r="J116" s="20">
        <v>150.0</v>
      </c>
      <c r="K116" s="20" t="str">
        <f t="array" ref="K116">IFS(J116&gt;299,"High HP",J116&gt;99,"Medium HP",J116&lt;100,"Low HP")</f>
        <v>Medium HP</v>
      </c>
      <c r="L116" s="20" t="s">
        <v>43</v>
      </c>
      <c r="M116" s="20">
        <v>24.0</v>
      </c>
      <c r="N116" s="20">
        <v>113.3</v>
      </c>
      <c r="O116" s="20">
        <v>76.8</v>
      </c>
      <c r="P116" s="20">
        <v>186.3</v>
      </c>
      <c r="Q116" s="20">
        <v>3.528</v>
      </c>
      <c r="R116" s="20">
        <v>20.0</v>
      </c>
      <c r="S116" s="24">
        <v>40657.0</v>
      </c>
    </row>
    <row r="117" ht="15.75" hidden="1" customHeight="1">
      <c r="A117" s="25" t="s">
        <v>154</v>
      </c>
      <c r="B117" s="26" t="s">
        <v>157</v>
      </c>
      <c r="C117" s="27">
        <v>106.9844563</v>
      </c>
      <c r="D117" s="28">
        <v>1872.0</v>
      </c>
      <c r="E117" s="29">
        <v>43000.0</v>
      </c>
      <c r="F117" s="29">
        <v>30434.0</v>
      </c>
      <c r="G117" s="30">
        <f t="shared" si="1"/>
        <v>0.7077674419</v>
      </c>
      <c r="H117" s="30" t="str">
        <f t="shared" si="2"/>
        <v>GOOD</v>
      </c>
      <c r="I117" s="27">
        <v>3.5</v>
      </c>
      <c r="J117" s="27">
        <v>253.0</v>
      </c>
      <c r="K117" s="27" t="str">
        <f t="array" ref="K117">IFS(J117&gt;299,"High HP",J117&gt;99,"Medium HP",J117&lt;100,"Low HP")</f>
        <v>Medium HP</v>
      </c>
      <c r="L117" s="27" t="s">
        <v>21</v>
      </c>
      <c r="M117" s="27">
        <v>21.0</v>
      </c>
      <c r="N117" s="27">
        <v>113.3</v>
      </c>
      <c r="O117" s="27">
        <v>76.3</v>
      </c>
      <c r="P117" s="27">
        <v>165.4</v>
      </c>
      <c r="Q117" s="27">
        <v>2.85</v>
      </c>
      <c r="R117" s="27">
        <v>12.0</v>
      </c>
      <c r="S117" s="31">
        <v>41087.0</v>
      </c>
    </row>
    <row r="118" ht="15.75" hidden="1" customHeight="1">
      <c r="A118" s="18" t="s">
        <v>158</v>
      </c>
      <c r="B118" s="19" t="s">
        <v>159</v>
      </c>
      <c r="C118" s="20">
        <v>62.0158703</v>
      </c>
      <c r="D118" s="21">
        <v>51645.0</v>
      </c>
      <c r="E118" s="22">
        <v>21610.0</v>
      </c>
      <c r="F118" s="22">
        <v>13790.0</v>
      </c>
      <c r="G118" s="23">
        <f t="shared" si="1"/>
        <v>0.6381304951</v>
      </c>
      <c r="H118" s="23" t="str">
        <f t="shared" si="2"/>
        <v>POOR</v>
      </c>
      <c r="I118" s="20">
        <v>2.4</v>
      </c>
      <c r="J118" s="20">
        <v>150.0</v>
      </c>
      <c r="K118" s="20" t="str">
        <f t="array" ref="K118">IFS(J118&gt;299,"High HP",J118&gt;99,"Medium HP",J118&lt;100,"Low HP")</f>
        <v>Medium HP</v>
      </c>
      <c r="L118" s="20" t="s">
        <v>21</v>
      </c>
      <c r="M118" s="20">
        <v>27.0</v>
      </c>
      <c r="N118" s="20">
        <v>104.1</v>
      </c>
      <c r="O118" s="20">
        <v>68.4</v>
      </c>
      <c r="P118" s="20">
        <v>181.9</v>
      </c>
      <c r="Q118" s="20">
        <v>2.906</v>
      </c>
      <c r="R118" s="20">
        <v>15.0</v>
      </c>
      <c r="S118" s="24">
        <v>40933.0</v>
      </c>
    </row>
    <row r="119" ht="15.75" hidden="1" customHeight="1">
      <c r="A119" s="25" t="s">
        <v>158</v>
      </c>
      <c r="B119" s="26" t="s">
        <v>160</v>
      </c>
      <c r="C119" s="27">
        <v>70.38973726</v>
      </c>
      <c r="D119" s="28">
        <v>131097.0</v>
      </c>
      <c r="E119" s="29">
        <v>19720.0</v>
      </c>
      <c r="F119" s="29">
        <v>10290.0</v>
      </c>
      <c r="G119" s="30">
        <f t="shared" si="1"/>
        <v>0.5218052738</v>
      </c>
      <c r="H119" s="30" t="str">
        <f t="shared" si="2"/>
        <v>POOR</v>
      </c>
      <c r="I119" s="27">
        <v>3.4</v>
      </c>
      <c r="J119" s="27">
        <v>175.0</v>
      </c>
      <c r="K119" s="27" t="str">
        <f t="array" ref="K119">IFS(J119&gt;299,"High HP",J119&gt;99,"Medium HP",J119&lt;100,"Low HP")</f>
        <v>Medium HP</v>
      </c>
      <c r="L119" s="27" t="s">
        <v>21</v>
      </c>
      <c r="M119" s="27">
        <v>25.0</v>
      </c>
      <c r="N119" s="27">
        <v>107.0</v>
      </c>
      <c r="O119" s="27">
        <v>70.4</v>
      </c>
      <c r="P119" s="27">
        <v>186.3</v>
      </c>
      <c r="Q119" s="27">
        <v>3.091</v>
      </c>
      <c r="R119" s="27">
        <v>15.2</v>
      </c>
      <c r="S119" s="31">
        <v>41239.0</v>
      </c>
    </row>
    <row r="120" ht="15.75" hidden="1" customHeight="1">
      <c r="A120" s="18" t="s">
        <v>158</v>
      </c>
      <c r="B120" s="19" t="s">
        <v>161</v>
      </c>
      <c r="C120" s="20">
        <v>81.49272616</v>
      </c>
      <c r="D120" s="21">
        <v>19911.0</v>
      </c>
      <c r="E120" s="22">
        <v>25310.0</v>
      </c>
      <c r="F120" s="22">
        <v>17805.0</v>
      </c>
      <c r="G120" s="23">
        <f t="shared" si="1"/>
        <v>0.7034768866</v>
      </c>
      <c r="H120" s="23" t="str">
        <f t="shared" si="2"/>
        <v>GOOD</v>
      </c>
      <c r="I120" s="20">
        <v>3.8</v>
      </c>
      <c r="J120" s="20">
        <v>200.0</v>
      </c>
      <c r="K120" s="20" t="str">
        <f t="array" ref="K120">IFS(J120&gt;299,"High HP",J120&gt;99,"Medium HP",J120&lt;100,"Low HP")</f>
        <v>Medium HP</v>
      </c>
      <c r="L120" s="20" t="s">
        <v>21</v>
      </c>
      <c r="M120" s="20">
        <v>25.0</v>
      </c>
      <c r="N120" s="20">
        <v>101.1</v>
      </c>
      <c r="O120" s="20">
        <v>74.5</v>
      </c>
      <c r="P120" s="20">
        <v>193.4</v>
      </c>
      <c r="Q120" s="20">
        <v>3.492</v>
      </c>
      <c r="R120" s="20">
        <v>16.8</v>
      </c>
      <c r="S120" s="24">
        <v>41076.0</v>
      </c>
    </row>
    <row r="121" ht="15.75" hidden="1" customHeight="1">
      <c r="A121" s="25" t="s">
        <v>158</v>
      </c>
      <c r="B121" s="26" t="s">
        <v>162</v>
      </c>
      <c r="C121" s="27">
        <v>78.31816813</v>
      </c>
      <c r="D121" s="28">
        <v>92364.0</v>
      </c>
      <c r="E121" s="29">
        <v>21665.0</v>
      </c>
      <c r="F121" s="29">
        <v>14010.0</v>
      </c>
      <c r="G121" s="30">
        <f t="shared" si="1"/>
        <v>0.6466651281</v>
      </c>
      <c r="H121" s="30" t="str">
        <f t="shared" si="2"/>
        <v>POOR</v>
      </c>
      <c r="I121" s="27">
        <v>3.8</v>
      </c>
      <c r="J121" s="27">
        <v>195.0</v>
      </c>
      <c r="K121" s="27" t="str">
        <f t="array" ref="K121">IFS(J121&gt;299,"High HP",J121&gt;99,"Medium HP",J121&lt;100,"Low HP")</f>
        <v>Medium HP</v>
      </c>
      <c r="L121" s="27" t="s">
        <v>21</v>
      </c>
      <c r="M121" s="27">
        <v>25.0</v>
      </c>
      <c r="N121" s="27">
        <v>110.5</v>
      </c>
      <c r="O121" s="27">
        <v>72.7</v>
      </c>
      <c r="P121" s="27">
        <v>196.5</v>
      </c>
      <c r="Q121" s="27">
        <v>3.396</v>
      </c>
      <c r="R121" s="27">
        <v>18.0</v>
      </c>
      <c r="S121" s="31">
        <v>41197.0</v>
      </c>
    </row>
    <row r="122" ht="15.75" hidden="1" customHeight="1">
      <c r="A122" s="18" t="s">
        <v>158</v>
      </c>
      <c r="B122" s="19" t="s">
        <v>163</v>
      </c>
      <c r="C122" s="20">
        <v>82.6613556</v>
      </c>
      <c r="D122" s="21">
        <v>35945.0</v>
      </c>
      <c r="E122" s="22">
        <v>23755.0</v>
      </c>
      <c r="F122" s="22">
        <v>13225.0</v>
      </c>
      <c r="G122" s="23">
        <f t="shared" si="1"/>
        <v>0.5567249</v>
      </c>
      <c r="H122" s="23" t="str">
        <f t="shared" si="2"/>
        <v>POOR</v>
      </c>
      <c r="I122" s="20">
        <v>3.8</v>
      </c>
      <c r="J122" s="20">
        <v>205.0</v>
      </c>
      <c r="K122" s="20" t="str">
        <f t="array" ref="K122">IFS(J122&gt;299,"High HP",J122&gt;99,"Medium HP",J122&lt;100,"Low HP")</f>
        <v>Medium HP</v>
      </c>
      <c r="L122" s="20" t="s">
        <v>21</v>
      </c>
      <c r="M122" s="20">
        <v>24.0</v>
      </c>
      <c r="N122" s="20">
        <v>112.2</v>
      </c>
      <c r="O122" s="20">
        <v>72.6</v>
      </c>
      <c r="P122" s="20">
        <v>202.5</v>
      </c>
      <c r="Q122" s="20">
        <v>3.59</v>
      </c>
      <c r="R122" s="20">
        <v>17.5</v>
      </c>
      <c r="S122" s="24">
        <v>40681.0</v>
      </c>
    </row>
    <row r="123" ht="15.75" hidden="1" customHeight="1">
      <c r="A123" s="25" t="s">
        <v>158</v>
      </c>
      <c r="B123" s="26" t="s">
        <v>164</v>
      </c>
      <c r="C123" s="27">
        <v>76.20843952</v>
      </c>
      <c r="D123" s="28">
        <v>39572.0</v>
      </c>
      <c r="E123" s="29">
        <v>25635.0</v>
      </c>
      <c r="F123" s="29">
        <v>14215.0</v>
      </c>
      <c r="G123" s="30">
        <f t="shared" si="1"/>
        <v>0.5545153111</v>
      </c>
      <c r="H123" s="30" t="str">
        <f t="shared" si="2"/>
        <v>POOR</v>
      </c>
      <c r="I123" s="27">
        <v>3.4</v>
      </c>
      <c r="J123" s="27">
        <v>185.0</v>
      </c>
      <c r="K123" s="27" t="str">
        <f t="array" ref="K123">IFS(J123&gt;299,"High HP",J123&gt;99,"Medium HP",J123&lt;100,"Low HP")</f>
        <v>Medium HP</v>
      </c>
      <c r="L123" s="27" t="s">
        <v>43</v>
      </c>
      <c r="M123" s="27">
        <v>23.0</v>
      </c>
      <c r="N123" s="27">
        <v>120.0</v>
      </c>
      <c r="O123" s="27">
        <v>72.7</v>
      </c>
      <c r="P123" s="27">
        <v>201.3</v>
      </c>
      <c r="Q123" s="27">
        <v>3.942</v>
      </c>
      <c r="R123" s="27">
        <v>25.0</v>
      </c>
      <c r="S123" s="31">
        <v>41112.0</v>
      </c>
    </row>
    <row r="124" ht="15.75" hidden="1" customHeight="1">
      <c r="A124" s="18" t="s">
        <v>165</v>
      </c>
      <c r="B124" s="19" t="s">
        <v>166</v>
      </c>
      <c r="C124" s="20">
        <v>93.4373307</v>
      </c>
      <c r="D124" s="21">
        <v>8982.0</v>
      </c>
      <c r="E124" s="22">
        <v>41430.0</v>
      </c>
      <c r="F124" s="22">
        <v>41250.0</v>
      </c>
      <c r="G124" s="23">
        <f t="shared" si="1"/>
        <v>0.9956553222</v>
      </c>
      <c r="H124" s="23" t="str">
        <f t="shared" si="2"/>
        <v>GOOD</v>
      </c>
      <c r="I124" s="20">
        <v>2.7</v>
      </c>
      <c r="J124" s="20">
        <v>217.0</v>
      </c>
      <c r="K124" s="20" t="str">
        <f t="array" ref="K124">IFS(J124&gt;299,"High HP",J124&gt;99,"Medium HP",J124&lt;100,"Low HP")</f>
        <v>Medium HP</v>
      </c>
      <c r="L124" s="20" t="s">
        <v>21</v>
      </c>
      <c r="M124" s="20">
        <v>22.0</v>
      </c>
      <c r="N124" s="20">
        <v>95.2</v>
      </c>
      <c r="O124" s="20">
        <v>70.1</v>
      </c>
      <c r="P124" s="20">
        <v>171.0</v>
      </c>
      <c r="Q124" s="20">
        <v>2.778</v>
      </c>
      <c r="R124" s="20">
        <v>17.0</v>
      </c>
      <c r="S124" s="24">
        <v>40958.0</v>
      </c>
    </row>
    <row r="125" ht="15.75" hidden="1" customHeight="1">
      <c r="A125" s="25" t="s">
        <v>165</v>
      </c>
      <c r="B125" s="26" t="s">
        <v>167</v>
      </c>
      <c r="C125" s="27">
        <v>134.3909754</v>
      </c>
      <c r="D125" s="28">
        <v>1280.0</v>
      </c>
      <c r="E125" s="29">
        <v>71020.0</v>
      </c>
      <c r="F125" s="29">
        <v>60625.0</v>
      </c>
      <c r="G125" s="30">
        <f t="shared" si="1"/>
        <v>0.8536327795</v>
      </c>
      <c r="H125" s="30" t="str">
        <f t="shared" si="2"/>
        <v>GOOD</v>
      </c>
      <c r="I125" s="27">
        <v>3.4</v>
      </c>
      <c r="J125" s="27">
        <v>300.0</v>
      </c>
      <c r="K125" s="27" t="str">
        <f t="array" ref="K125">IFS(J125&gt;299,"High HP",J125&gt;99,"Medium HP",J125&lt;100,"Low HP")</f>
        <v>High HP</v>
      </c>
      <c r="L125" s="27" t="s">
        <v>21</v>
      </c>
      <c r="M125" s="27">
        <v>21.0</v>
      </c>
      <c r="N125" s="27">
        <v>92.6</v>
      </c>
      <c r="O125" s="27">
        <v>69.5</v>
      </c>
      <c r="P125" s="27">
        <v>174.5</v>
      </c>
      <c r="Q125" s="27">
        <v>3.032</v>
      </c>
      <c r="R125" s="27">
        <v>17.0</v>
      </c>
      <c r="S125" s="31">
        <v>41264.0</v>
      </c>
    </row>
    <row r="126" ht="15.75" hidden="1" customHeight="1">
      <c r="A126" s="18" t="s">
        <v>165</v>
      </c>
      <c r="B126" s="19" t="s">
        <v>168</v>
      </c>
      <c r="C126" s="20">
        <v>135.9147096</v>
      </c>
      <c r="D126" s="21">
        <v>1866.0</v>
      </c>
      <c r="E126" s="22">
        <v>74970.0</v>
      </c>
      <c r="F126" s="22">
        <v>67550.0</v>
      </c>
      <c r="G126" s="23">
        <f t="shared" si="1"/>
        <v>0.9010270775</v>
      </c>
      <c r="H126" s="23" t="str">
        <f t="shared" si="2"/>
        <v>GOOD</v>
      </c>
      <c r="I126" s="20">
        <v>3.4</v>
      </c>
      <c r="J126" s="20">
        <v>300.0</v>
      </c>
      <c r="K126" s="20" t="str">
        <f t="array" ref="K126">IFS(J126&gt;299,"High HP",J126&gt;99,"Medium HP",J126&lt;100,"Low HP")</f>
        <v>High HP</v>
      </c>
      <c r="L126" s="20" t="s">
        <v>21</v>
      </c>
      <c r="M126" s="20">
        <v>23.0</v>
      </c>
      <c r="N126" s="20">
        <v>92.6</v>
      </c>
      <c r="O126" s="20">
        <v>69.5</v>
      </c>
      <c r="P126" s="20">
        <v>174.5</v>
      </c>
      <c r="Q126" s="20">
        <v>3.075</v>
      </c>
      <c r="R126" s="20">
        <v>17.0</v>
      </c>
      <c r="S126" s="24">
        <v>40735.0</v>
      </c>
    </row>
    <row r="127" ht="15.75" hidden="1" customHeight="1">
      <c r="A127" s="25" t="s">
        <v>169</v>
      </c>
      <c r="B127" s="32" t="s">
        <v>170</v>
      </c>
      <c r="C127" s="27">
        <v>73.50377819</v>
      </c>
      <c r="D127" s="28">
        <v>9191.0</v>
      </c>
      <c r="E127" s="29">
        <v>33120.0</v>
      </c>
      <c r="F127" s="29">
        <v>22789.0</v>
      </c>
      <c r="G127" s="30">
        <f t="shared" si="1"/>
        <v>0.6880736715</v>
      </c>
      <c r="H127" s="30" t="str">
        <f t="shared" si="2"/>
        <v>POOR</v>
      </c>
      <c r="I127" s="27">
        <v>2.3</v>
      </c>
      <c r="J127" s="27">
        <v>170.0</v>
      </c>
      <c r="K127" s="27" t="str">
        <f t="array" ref="K127">IFS(J127&gt;299,"High HP",J127&gt;99,"Medium HP",J127&lt;100,"Low HP")</f>
        <v>Medium HP</v>
      </c>
      <c r="L127" s="27" t="s">
        <v>21</v>
      </c>
      <c r="M127" s="27">
        <v>23.0</v>
      </c>
      <c r="N127" s="27">
        <v>106.4</v>
      </c>
      <c r="O127" s="27">
        <v>70.6</v>
      </c>
      <c r="P127" s="27">
        <v>189.2</v>
      </c>
      <c r="Q127" s="27">
        <v>3.28</v>
      </c>
      <c r="R127" s="27">
        <v>18.5</v>
      </c>
      <c r="S127" s="31">
        <v>41222.0</v>
      </c>
    </row>
    <row r="128" ht="15.75" hidden="1" customHeight="1">
      <c r="A128" s="18" t="s">
        <v>169</v>
      </c>
      <c r="B128" s="33" t="s">
        <v>171</v>
      </c>
      <c r="C128" s="20">
        <v>76.02304771</v>
      </c>
      <c r="D128" s="21">
        <v>12115.0</v>
      </c>
      <c r="E128" s="22">
        <v>26100.0</v>
      </c>
      <c r="F128" s="22">
        <v>18255.0</v>
      </c>
      <c r="G128" s="23">
        <f t="shared" si="1"/>
        <v>0.6994252874</v>
      </c>
      <c r="H128" s="23" t="str">
        <f t="shared" si="2"/>
        <v>GOOD</v>
      </c>
      <c r="I128" s="20">
        <v>2.0</v>
      </c>
      <c r="J128" s="20">
        <v>185.0</v>
      </c>
      <c r="K128" s="20" t="str">
        <f t="array" ref="K128">IFS(J128&gt;299,"High HP",J128&gt;99,"Medium HP",J128&lt;100,"Low HP")</f>
        <v>Medium HP</v>
      </c>
      <c r="L128" s="20" t="s">
        <v>21</v>
      </c>
      <c r="M128" s="20">
        <v>23.0</v>
      </c>
      <c r="N128" s="20">
        <v>102.6</v>
      </c>
      <c r="O128" s="20">
        <v>67.4</v>
      </c>
      <c r="P128" s="20">
        <v>182.2</v>
      </c>
      <c r="Q128" s="20">
        <v>2.99</v>
      </c>
      <c r="R128" s="20">
        <v>16.9</v>
      </c>
      <c r="S128" s="24">
        <v>40706.0</v>
      </c>
    </row>
    <row r="129" ht="15.75" hidden="1" customHeight="1">
      <c r="A129" s="25" t="s">
        <v>172</v>
      </c>
      <c r="B129" s="26" t="s">
        <v>173</v>
      </c>
      <c r="C129" s="27">
        <v>39.98642475</v>
      </c>
      <c r="D129" s="28">
        <v>80620.0</v>
      </c>
      <c r="E129" s="29">
        <v>10685.0</v>
      </c>
      <c r="F129" s="29">
        <v>9200.0</v>
      </c>
      <c r="G129" s="30">
        <f t="shared" si="1"/>
        <v>0.8610201217</v>
      </c>
      <c r="H129" s="30" t="str">
        <f t="shared" si="2"/>
        <v>GOOD</v>
      </c>
      <c r="I129" s="27">
        <v>1.9</v>
      </c>
      <c r="J129" s="27">
        <v>100.0</v>
      </c>
      <c r="K129" s="27" t="str">
        <f t="array" ref="K129">IFS(J129&gt;299,"High HP",J129&gt;99,"Medium HP",J129&lt;100,"Low HP")</f>
        <v>Medium HP</v>
      </c>
      <c r="L129" s="27" t="s">
        <v>21</v>
      </c>
      <c r="M129" s="27">
        <v>33.0</v>
      </c>
      <c r="N129" s="27">
        <v>102.4</v>
      </c>
      <c r="O129" s="27">
        <v>66.4</v>
      </c>
      <c r="P129" s="27">
        <v>176.9</v>
      </c>
      <c r="Q129" s="27">
        <v>2.332</v>
      </c>
      <c r="R129" s="27">
        <v>12.1</v>
      </c>
      <c r="S129" s="31">
        <v>41137.0</v>
      </c>
    </row>
    <row r="130" ht="15.75" hidden="1" customHeight="1">
      <c r="A130" s="18" t="s">
        <v>172</v>
      </c>
      <c r="B130" s="19" t="s">
        <v>174</v>
      </c>
      <c r="C130" s="20">
        <v>40.70007242</v>
      </c>
      <c r="D130" s="21">
        <v>24546.0</v>
      </c>
      <c r="E130" s="22">
        <v>12535.0</v>
      </c>
      <c r="F130" s="22">
        <v>10590.0</v>
      </c>
      <c r="G130" s="23">
        <f t="shared" si="1"/>
        <v>0.8448344635</v>
      </c>
      <c r="H130" s="23" t="str">
        <f t="shared" si="2"/>
        <v>GOOD</v>
      </c>
      <c r="I130" s="20">
        <v>1.9</v>
      </c>
      <c r="J130" s="20">
        <v>100.0</v>
      </c>
      <c r="K130" s="20" t="str">
        <f t="array" ref="K130">IFS(J130&gt;299,"High HP",J130&gt;99,"Medium HP",J130&lt;100,"Low HP")</f>
        <v>Medium HP</v>
      </c>
      <c r="L130" s="20" t="s">
        <v>21</v>
      </c>
      <c r="M130" s="20">
        <v>33.0</v>
      </c>
      <c r="N130" s="20">
        <v>102.4</v>
      </c>
      <c r="O130" s="20">
        <v>66.4</v>
      </c>
      <c r="P130" s="20">
        <v>180.0</v>
      </c>
      <c r="Q130" s="20">
        <v>2.367</v>
      </c>
      <c r="R130" s="20">
        <v>12.1</v>
      </c>
      <c r="S130" s="24">
        <v>40618.0</v>
      </c>
    </row>
    <row r="131" ht="15.75" hidden="1" customHeight="1">
      <c r="A131" s="25" t="s">
        <v>172</v>
      </c>
      <c r="B131" s="26" t="s">
        <v>175</v>
      </c>
      <c r="C131" s="27">
        <v>49.86577367</v>
      </c>
      <c r="D131" s="28">
        <v>5223.0</v>
      </c>
      <c r="E131" s="29">
        <v>14290.0</v>
      </c>
      <c r="F131" s="29">
        <v>10790.0</v>
      </c>
      <c r="G131" s="30">
        <f t="shared" si="1"/>
        <v>0.755073478</v>
      </c>
      <c r="H131" s="30" t="str">
        <f t="shared" si="2"/>
        <v>GOOD</v>
      </c>
      <c r="I131" s="27">
        <v>1.9</v>
      </c>
      <c r="J131" s="27">
        <v>124.0</v>
      </c>
      <c r="K131" s="27" t="str">
        <f t="array" ref="K131">IFS(J131&gt;299,"High HP",J131&gt;99,"Medium HP",J131&lt;100,"Low HP")</f>
        <v>Medium HP</v>
      </c>
      <c r="L131" s="27" t="s">
        <v>21</v>
      </c>
      <c r="M131" s="27">
        <v>31.0</v>
      </c>
      <c r="N131" s="27">
        <v>102.4</v>
      </c>
      <c r="O131" s="27">
        <v>66.4</v>
      </c>
      <c r="P131" s="27">
        <v>176.9</v>
      </c>
      <c r="Q131" s="27">
        <v>2.452</v>
      </c>
      <c r="R131" s="27">
        <v>12.1</v>
      </c>
      <c r="S131" s="31">
        <v>40558.0</v>
      </c>
    </row>
    <row r="132" ht="15.75" hidden="1" customHeight="1">
      <c r="A132" s="18" t="s">
        <v>172</v>
      </c>
      <c r="B132" s="19" t="s">
        <v>176</v>
      </c>
      <c r="C132" s="20">
        <v>56.29524304</v>
      </c>
      <c r="D132" s="21">
        <v>8472.0</v>
      </c>
      <c r="E132" s="22">
        <v>18835.0</v>
      </c>
      <c r="F132" s="22">
        <v>13700.0</v>
      </c>
      <c r="G132" s="23">
        <f t="shared" si="1"/>
        <v>0.7273692594</v>
      </c>
      <c r="H132" s="23" t="str">
        <f t="shared" si="2"/>
        <v>GOOD</v>
      </c>
      <c r="I132" s="20">
        <v>2.2</v>
      </c>
      <c r="J132" s="20">
        <v>137.0</v>
      </c>
      <c r="K132" s="20" t="str">
        <f t="array" ref="K132">IFS(J132&gt;299,"High HP",J132&gt;99,"Medium HP",J132&lt;100,"Low HP")</f>
        <v>Medium HP</v>
      </c>
      <c r="L132" s="20" t="s">
        <v>21</v>
      </c>
      <c r="M132" s="20">
        <v>27.0</v>
      </c>
      <c r="N132" s="20">
        <v>106.5</v>
      </c>
      <c r="O132" s="20">
        <v>69.0</v>
      </c>
      <c r="P132" s="20">
        <v>190.4</v>
      </c>
      <c r="Q132" s="20">
        <v>3.075</v>
      </c>
      <c r="R132" s="20">
        <v>13.1</v>
      </c>
      <c r="S132" s="24">
        <v>40760.0</v>
      </c>
    </row>
    <row r="133" ht="15.75" hidden="1" customHeight="1">
      <c r="A133" s="25" t="s">
        <v>172</v>
      </c>
      <c r="B133" s="26" t="s">
        <v>177</v>
      </c>
      <c r="C133" s="27">
        <v>54.81972825</v>
      </c>
      <c r="D133" s="28">
        <v>49989.0</v>
      </c>
      <c r="E133" s="29">
        <v>15010.0</v>
      </c>
      <c r="F133" s="29">
        <v>9900.0</v>
      </c>
      <c r="G133" s="30">
        <f t="shared" si="1"/>
        <v>0.6595602931</v>
      </c>
      <c r="H133" s="30" t="str">
        <f t="shared" si="2"/>
        <v>POOR</v>
      </c>
      <c r="I133" s="27">
        <v>2.2</v>
      </c>
      <c r="J133" s="27">
        <v>137.0</v>
      </c>
      <c r="K133" s="27" t="str">
        <f t="array" ref="K133">IFS(J133&gt;299,"High HP",J133&gt;99,"Medium HP",J133&lt;100,"Low HP")</f>
        <v>Medium HP</v>
      </c>
      <c r="L133" s="27" t="s">
        <v>21</v>
      </c>
      <c r="M133" s="27">
        <v>28.0</v>
      </c>
      <c r="N133" s="27">
        <v>106.5</v>
      </c>
      <c r="O133" s="27">
        <v>69.0</v>
      </c>
      <c r="P133" s="27">
        <v>190.4</v>
      </c>
      <c r="Q133" s="27">
        <v>2.91</v>
      </c>
      <c r="R133" s="27">
        <v>13.1</v>
      </c>
      <c r="S133" s="31">
        <v>41247.0</v>
      </c>
    </row>
    <row r="134" ht="15.75" hidden="1" customHeight="1">
      <c r="A134" s="18" t="s">
        <v>178</v>
      </c>
      <c r="B134" s="19" t="s">
        <v>179</v>
      </c>
      <c r="C134" s="20">
        <v>67.7659076</v>
      </c>
      <c r="D134" s="21">
        <v>47107.0</v>
      </c>
      <c r="E134" s="22">
        <v>22695.0</v>
      </c>
      <c r="F134" s="22">
        <v>16770.0</v>
      </c>
      <c r="G134" s="23">
        <f t="shared" si="1"/>
        <v>0.7389292796</v>
      </c>
      <c r="H134" s="23" t="str">
        <f t="shared" si="2"/>
        <v>GOOD</v>
      </c>
      <c r="I134" s="20">
        <v>2.5</v>
      </c>
      <c r="J134" s="20">
        <v>165.0</v>
      </c>
      <c r="K134" s="20" t="str">
        <f t="array" ref="K134">IFS(J134&gt;299,"High HP",J134&gt;99,"Medium HP",J134&lt;100,"Low HP")</f>
        <v>Medium HP</v>
      </c>
      <c r="L134" s="20" t="s">
        <v>21</v>
      </c>
      <c r="M134" s="20">
        <v>25.0</v>
      </c>
      <c r="N134" s="20">
        <v>103.5</v>
      </c>
      <c r="O134" s="20">
        <v>67.5</v>
      </c>
      <c r="P134" s="20">
        <v>185.8</v>
      </c>
      <c r="Q134" s="20">
        <v>3.415</v>
      </c>
      <c r="R134" s="20">
        <v>16.9</v>
      </c>
      <c r="S134" s="24">
        <v>40731.0</v>
      </c>
    </row>
    <row r="135" ht="15.75" hidden="1" customHeight="1">
      <c r="A135" s="25" t="s">
        <v>178</v>
      </c>
      <c r="B135" s="26" t="s">
        <v>180</v>
      </c>
      <c r="C135" s="27">
        <v>66.76294331</v>
      </c>
      <c r="D135" s="28">
        <v>33028.0</v>
      </c>
      <c r="E135" s="29">
        <v>20095.0</v>
      </c>
      <c r="F135" s="29">
        <v>14832.0</v>
      </c>
      <c r="G135" s="30">
        <f t="shared" si="1"/>
        <v>0.7380940532</v>
      </c>
      <c r="H135" s="30" t="str">
        <f t="shared" si="2"/>
        <v>GOOD</v>
      </c>
      <c r="I135" s="27">
        <v>2.5</v>
      </c>
      <c r="J135" s="27">
        <v>165.0</v>
      </c>
      <c r="K135" s="27" t="str">
        <f t="array" ref="K135">IFS(J135&gt;299,"High HP",J135&gt;99,"Medium HP",J135&lt;100,"Low HP")</f>
        <v>Medium HP</v>
      </c>
      <c r="L135" s="27" t="s">
        <v>43</v>
      </c>
      <c r="M135" s="27">
        <v>24.0</v>
      </c>
      <c r="N135" s="27">
        <v>99.4</v>
      </c>
      <c r="O135" s="27">
        <v>68.3</v>
      </c>
      <c r="P135" s="27">
        <v>175.2</v>
      </c>
      <c r="Q135" s="27">
        <v>3.125</v>
      </c>
      <c r="R135" s="27">
        <v>15.9</v>
      </c>
      <c r="S135" s="31">
        <v>41162.0</v>
      </c>
    </row>
    <row r="136" ht="15.75" customHeight="1">
      <c r="A136" s="18" t="s">
        <v>181</v>
      </c>
      <c r="B136" s="19" t="s">
        <v>182</v>
      </c>
      <c r="C136" s="20">
        <v>47.96897242</v>
      </c>
      <c r="D136" s="21">
        <v>142535.0</v>
      </c>
      <c r="E136" s="22">
        <v>13108.0</v>
      </c>
      <c r="F136" s="22">
        <v>10025.0</v>
      </c>
      <c r="G136" s="23">
        <f t="shared" si="1"/>
        <v>0.7648001221</v>
      </c>
      <c r="H136" s="23" t="str">
        <f t="shared" si="2"/>
        <v>GOOD</v>
      </c>
      <c r="I136" s="20">
        <v>1.8</v>
      </c>
      <c r="J136" s="20">
        <v>120.0</v>
      </c>
      <c r="K136" s="20" t="str">
        <f t="array" ref="K136">IFS(J136&gt;299,"High HP",J136&gt;99,"Medium HP",J136&lt;100,"Low HP")</f>
        <v>Medium HP</v>
      </c>
      <c r="L136" s="20" t="s">
        <v>21</v>
      </c>
      <c r="M136" s="20">
        <v>33.0</v>
      </c>
      <c r="N136" s="20">
        <v>97.0</v>
      </c>
      <c r="O136" s="20">
        <v>66.7</v>
      </c>
      <c r="P136" s="20">
        <v>174.0</v>
      </c>
      <c r="Q136" s="20">
        <v>2.42</v>
      </c>
      <c r="R136" s="20">
        <v>13.2</v>
      </c>
      <c r="S136" s="24">
        <v>40644.0</v>
      </c>
    </row>
    <row r="137" ht="15.75" customHeight="1">
      <c r="A137" s="25" t="s">
        <v>181</v>
      </c>
      <c r="B137" s="26" t="s">
        <v>183</v>
      </c>
      <c r="C137" s="27">
        <v>54.37241965</v>
      </c>
      <c r="D137" s="28">
        <v>247994.0</v>
      </c>
      <c r="E137" s="29">
        <v>17518.0</v>
      </c>
      <c r="F137" s="29">
        <v>13245.0</v>
      </c>
      <c r="G137" s="30">
        <f t="shared" si="1"/>
        <v>0.7560794611</v>
      </c>
      <c r="H137" s="30" t="str">
        <f t="shared" si="2"/>
        <v>GOOD</v>
      </c>
      <c r="I137" s="27">
        <v>2.2</v>
      </c>
      <c r="J137" s="27">
        <v>133.0</v>
      </c>
      <c r="K137" s="27" t="str">
        <f t="array" ref="K137">IFS(J137&gt;299,"High HP",J137&gt;99,"Medium HP",J137&lt;100,"Low HP")</f>
        <v>Medium HP</v>
      </c>
      <c r="L137" s="27" t="s">
        <v>21</v>
      </c>
      <c r="M137" s="27">
        <v>27.0</v>
      </c>
      <c r="N137" s="27">
        <v>105.2</v>
      </c>
      <c r="O137" s="27">
        <v>70.1</v>
      </c>
      <c r="P137" s="27">
        <v>188.5</v>
      </c>
      <c r="Q137" s="27">
        <v>2.998</v>
      </c>
      <c r="R137" s="27">
        <v>18.5</v>
      </c>
      <c r="S137" s="31">
        <v>40584.0</v>
      </c>
    </row>
    <row r="138" ht="15.75" customHeight="1">
      <c r="A138" s="18" t="s">
        <v>181</v>
      </c>
      <c r="B138" s="19" t="s">
        <v>184</v>
      </c>
      <c r="C138" s="20">
        <v>84.91189826</v>
      </c>
      <c r="D138" s="21">
        <v>63849.0</v>
      </c>
      <c r="E138" s="22">
        <v>25545.0</v>
      </c>
      <c r="F138" s="22">
        <v>18140.0</v>
      </c>
      <c r="G138" s="23">
        <f t="shared" si="1"/>
        <v>0.7101193971</v>
      </c>
      <c r="H138" s="23" t="str">
        <f t="shared" si="2"/>
        <v>GOOD</v>
      </c>
      <c r="I138" s="20">
        <v>3.0</v>
      </c>
      <c r="J138" s="20">
        <v>210.0</v>
      </c>
      <c r="K138" s="20" t="str">
        <f t="array" ref="K138">IFS(J138&gt;299,"High HP",J138&gt;99,"Medium HP",J138&lt;100,"Low HP")</f>
        <v>Medium HP</v>
      </c>
      <c r="L138" s="20" t="s">
        <v>21</v>
      </c>
      <c r="M138" s="20">
        <v>26.0</v>
      </c>
      <c r="N138" s="20">
        <v>107.1</v>
      </c>
      <c r="O138" s="20">
        <v>71.7</v>
      </c>
      <c r="P138" s="20">
        <v>191.9</v>
      </c>
      <c r="Q138" s="20">
        <v>3.417</v>
      </c>
      <c r="R138" s="20">
        <v>18.5</v>
      </c>
      <c r="S138" s="24">
        <v>40786.0</v>
      </c>
    </row>
    <row r="139" ht="15.75" customHeight="1">
      <c r="A139" s="25" t="s">
        <v>181</v>
      </c>
      <c r="B139" s="26" t="s">
        <v>185</v>
      </c>
      <c r="C139" s="27">
        <v>56.49603034</v>
      </c>
      <c r="D139" s="28">
        <v>33269.0</v>
      </c>
      <c r="E139" s="29">
        <v>16875.0</v>
      </c>
      <c r="F139" s="29">
        <v>15445.0</v>
      </c>
      <c r="G139" s="30">
        <f t="shared" si="1"/>
        <v>0.9152592593</v>
      </c>
      <c r="H139" s="30" t="str">
        <f t="shared" si="2"/>
        <v>GOOD</v>
      </c>
      <c r="I139" s="27">
        <v>1.8</v>
      </c>
      <c r="J139" s="27">
        <v>140.0</v>
      </c>
      <c r="K139" s="27" t="str">
        <f t="array" ref="K139">IFS(J139&gt;299,"High HP",J139&gt;99,"Medium HP",J139&lt;100,"Low HP")</f>
        <v>Medium HP</v>
      </c>
      <c r="L139" s="27" t="s">
        <v>21</v>
      </c>
      <c r="M139" s="27">
        <v>31.0</v>
      </c>
      <c r="N139" s="27">
        <v>102.4</v>
      </c>
      <c r="O139" s="27">
        <v>68.3</v>
      </c>
      <c r="P139" s="27">
        <v>170.5</v>
      </c>
      <c r="Q139" s="27">
        <v>2.425</v>
      </c>
      <c r="R139" s="27">
        <v>14.5</v>
      </c>
      <c r="S139" s="31">
        <v>41272.0</v>
      </c>
    </row>
    <row r="140" ht="15.75" customHeight="1">
      <c r="A140" s="18" t="s">
        <v>181</v>
      </c>
      <c r="B140" s="19" t="s">
        <v>186</v>
      </c>
      <c r="C140" s="20">
        <v>55.29711658</v>
      </c>
      <c r="D140" s="21">
        <v>84087.0</v>
      </c>
      <c r="E140" s="22">
        <v>11528.0</v>
      </c>
      <c r="F140" s="22">
        <v>9575.0</v>
      </c>
      <c r="G140" s="23">
        <f t="shared" si="1"/>
        <v>0.8305863983</v>
      </c>
      <c r="H140" s="23" t="str">
        <f t="shared" si="2"/>
        <v>GOOD</v>
      </c>
      <c r="I140" s="20">
        <v>2.4</v>
      </c>
      <c r="J140" s="20">
        <v>142.0</v>
      </c>
      <c r="K140" s="20" t="str">
        <f t="array" ref="K140">IFS(J140&gt;299,"High HP",J140&gt;99,"Medium HP",J140&lt;100,"Low HP")</f>
        <v>Medium HP</v>
      </c>
      <c r="L140" s="20" t="s">
        <v>43</v>
      </c>
      <c r="M140" s="20">
        <v>23.0</v>
      </c>
      <c r="N140" s="20">
        <v>103.3</v>
      </c>
      <c r="O140" s="20">
        <v>66.5</v>
      </c>
      <c r="P140" s="20">
        <v>178.7</v>
      </c>
      <c r="Q140" s="20">
        <v>2.58</v>
      </c>
      <c r="R140" s="20">
        <v>15.1</v>
      </c>
      <c r="S140" s="24">
        <v>40756.0</v>
      </c>
    </row>
    <row r="141" ht="15.75" customHeight="1">
      <c r="A141" s="25" t="s">
        <v>181</v>
      </c>
      <c r="B141" s="26" t="s">
        <v>187</v>
      </c>
      <c r="C141" s="27">
        <v>78.02721947</v>
      </c>
      <c r="D141" s="28">
        <v>65119.0</v>
      </c>
      <c r="E141" s="29">
        <v>22368.0</v>
      </c>
      <c r="F141" s="29">
        <v>18689.0</v>
      </c>
      <c r="G141" s="30">
        <f t="shared" si="1"/>
        <v>0.8355239628</v>
      </c>
      <c r="H141" s="30" t="str">
        <f t="shared" si="2"/>
        <v>GOOD</v>
      </c>
      <c r="I141" s="27">
        <v>3.0</v>
      </c>
      <c r="J141" s="27">
        <v>194.0</v>
      </c>
      <c r="K141" s="27" t="str">
        <f t="array" ref="K141">IFS(J141&gt;299,"High HP",J141&gt;99,"Medium HP",J141&lt;100,"Low HP")</f>
        <v>Medium HP</v>
      </c>
      <c r="L141" s="27" t="s">
        <v>43</v>
      </c>
      <c r="M141" s="27">
        <v>22.0</v>
      </c>
      <c r="N141" s="27">
        <v>114.2</v>
      </c>
      <c r="O141" s="27">
        <v>73.4</v>
      </c>
      <c r="P141" s="27">
        <v>193.5</v>
      </c>
      <c r="Q141" s="27">
        <v>3.759</v>
      </c>
      <c r="R141" s="27">
        <v>20.9</v>
      </c>
      <c r="S141" s="31">
        <v>41187.0</v>
      </c>
    </row>
    <row r="142" ht="15.75" customHeight="1">
      <c r="A142" s="18" t="s">
        <v>181</v>
      </c>
      <c r="B142" s="19" t="s">
        <v>188</v>
      </c>
      <c r="C142" s="20">
        <v>51.95510887</v>
      </c>
      <c r="D142" s="21">
        <v>25106.0</v>
      </c>
      <c r="E142" s="22">
        <v>16888.0</v>
      </c>
      <c r="F142" s="22">
        <v>13325.0</v>
      </c>
      <c r="G142" s="23">
        <f t="shared" si="1"/>
        <v>0.7890217906</v>
      </c>
      <c r="H142" s="23" t="str">
        <f t="shared" si="2"/>
        <v>GOOD</v>
      </c>
      <c r="I142" s="20">
        <v>2.0</v>
      </c>
      <c r="J142" s="20">
        <v>127.0</v>
      </c>
      <c r="K142" s="20" t="str">
        <f t="array" ref="K142">IFS(J142&gt;299,"High HP",J142&gt;99,"Medium HP",J142&lt;100,"Low HP")</f>
        <v>Medium HP</v>
      </c>
      <c r="L142" s="20" t="s">
        <v>43</v>
      </c>
      <c r="M142" s="20">
        <v>27.0</v>
      </c>
      <c r="N142" s="20">
        <v>94.9</v>
      </c>
      <c r="O142" s="20">
        <v>66.7</v>
      </c>
      <c r="P142" s="20">
        <v>163.8</v>
      </c>
      <c r="Q142" s="20">
        <v>2.668</v>
      </c>
      <c r="R142" s="20">
        <v>15.3</v>
      </c>
      <c r="S142" s="24">
        <v>40669.0</v>
      </c>
    </row>
    <row r="143" ht="15.75" customHeight="1">
      <c r="A143" s="25" t="s">
        <v>181</v>
      </c>
      <c r="B143" s="26" t="s">
        <v>189</v>
      </c>
      <c r="C143" s="27">
        <v>62.35557713</v>
      </c>
      <c r="D143" s="28">
        <v>68411.0</v>
      </c>
      <c r="E143" s="29">
        <v>22288.0</v>
      </c>
      <c r="F143" s="29">
        <v>19425.0</v>
      </c>
      <c r="G143" s="30">
        <f t="shared" si="1"/>
        <v>0.8715452261</v>
      </c>
      <c r="H143" s="30" t="str">
        <f t="shared" si="2"/>
        <v>GOOD</v>
      </c>
      <c r="I143" s="27">
        <v>2.7</v>
      </c>
      <c r="J143" s="27">
        <v>150.0</v>
      </c>
      <c r="K143" s="27" t="str">
        <f t="array" ref="K143">IFS(J143&gt;299,"High HP",J143&gt;99,"Medium HP",J143&lt;100,"Low HP")</f>
        <v>Medium HP</v>
      </c>
      <c r="L143" s="27" t="s">
        <v>43</v>
      </c>
      <c r="M143" s="27">
        <v>23.0</v>
      </c>
      <c r="N143" s="27">
        <v>105.3</v>
      </c>
      <c r="O143" s="27">
        <v>66.5</v>
      </c>
      <c r="P143" s="27">
        <v>183.3</v>
      </c>
      <c r="Q143" s="27">
        <v>3.44</v>
      </c>
      <c r="R143" s="27">
        <v>18.5</v>
      </c>
      <c r="S143" s="31">
        <v>40609.0</v>
      </c>
    </row>
    <row r="144" ht="15.75" customHeight="1">
      <c r="A144" s="18" t="s">
        <v>181</v>
      </c>
      <c r="B144" s="19" t="s">
        <v>190</v>
      </c>
      <c r="C144" s="20">
        <v>102.5289842</v>
      </c>
      <c r="D144" s="21">
        <v>9835.0</v>
      </c>
      <c r="E144" s="22">
        <v>51728.0</v>
      </c>
      <c r="F144" s="22">
        <v>34080.0</v>
      </c>
      <c r="G144" s="23">
        <f t="shared" si="1"/>
        <v>0.6588308073</v>
      </c>
      <c r="H144" s="23" t="str">
        <f t="shared" si="2"/>
        <v>POOR</v>
      </c>
      <c r="I144" s="20">
        <v>4.7</v>
      </c>
      <c r="J144" s="20">
        <v>230.0</v>
      </c>
      <c r="K144" s="20" t="str">
        <f t="array" ref="K144">IFS(J144&gt;299,"High HP",J144&gt;99,"Medium HP",J144&lt;100,"Low HP")</f>
        <v>Medium HP</v>
      </c>
      <c r="L144" s="20" t="s">
        <v>43</v>
      </c>
      <c r="M144" s="20">
        <v>15.0</v>
      </c>
      <c r="N144" s="20">
        <v>112.2</v>
      </c>
      <c r="O144" s="20">
        <v>76.4</v>
      </c>
      <c r="P144" s="20">
        <v>192.5</v>
      </c>
      <c r="Q144" s="20">
        <v>5.115</v>
      </c>
      <c r="R144" s="20">
        <v>25.4</v>
      </c>
      <c r="S144" s="24">
        <v>40811.0</v>
      </c>
    </row>
    <row r="145" ht="15.75" hidden="1" customHeight="1">
      <c r="A145" s="25" t="s">
        <v>191</v>
      </c>
      <c r="B145" s="26" t="s">
        <v>192</v>
      </c>
      <c r="C145" s="27">
        <v>46.94387676</v>
      </c>
      <c r="D145" s="28">
        <v>9761.0</v>
      </c>
      <c r="E145" s="29">
        <v>14900.0</v>
      </c>
      <c r="F145" s="29">
        <v>11425.0</v>
      </c>
      <c r="G145" s="30">
        <f t="shared" si="1"/>
        <v>0.7667785235</v>
      </c>
      <c r="H145" s="30" t="str">
        <f t="shared" si="2"/>
        <v>GOOD</v>
      </c>
      <c r="I145" s="27">
        <v>2.0</v>
      </c>
      <c r="J145" s="27">
        <v>115.0</v>
      </c>
      <c r="K145" s="27" t="str">
        <f t="array" ref="K145">IFS(J145&gt;299,"High HP",J145&gt;99,"Medium HP",J145&lt;100,"Low HP")</f>
        <v>Medium HP</v>
      </c>
      <c r="L145" s="27" t="s">
        <v>21</v>
      </c>
      <c r="M145" s="27">
        <v>26.0</v>
      </c>
      <c r="N145" s="27">
        <v>98.9</v>
      </c>
      <c r="O145" s="27">
        <v>68.3</v>
      </c>
      <c r="P145" s="27">
        <v>163.3</v>
      </c>
      <c r="Q145" s="27">
        <v>2.767</v>
      </c>
      <c r="R145" s="27">
        <v>14.5</v>
      </c>
      <c r="S145" s="31">
        <v>40567.0</v>
      </c>
    </row>
    <row r="146" ht="15.75" hidden="1" customHeight="1">
      <c r="A146" s="18" t="s">
        <v>191</v>
      </c>
      <c r="B146" s="19" t="s">
        <v>193</v>
      </c>
      <c r="C146" s="20">
        <v>47.63823666</v>
      </c>
      <c r="D146" s="21">
        <v>83721.0</v>
      </c>
      <c r="E146" s="22">
        <v>16700.0</v>
      </c>
      <c r="F146" s="22">
        <v>13240.0</v>
      </c>
      <c r="G146" s="23">
        <f t="shared" si="1"/>
        <v>0.7928143713</v>
      </c>
      <c r="H146" s="23" t="str">
        <f t="shared" si="2"/>
        <v>GOOD</v>
      </c>
      <c r="I146" s="20">
        <v>2.0</v>
      </c>
      <c r="J146" s="20">
        <v>115.0</v>
      </c>
      <c r="K146" s="20" t="str">
        <f t="array" ref="K146">IFS(J146&gt;299,"High HP",J146&gt;99,"Medium HP",J146&lt;100,"Low HP")</f>
        <v>Medium HP</v>
      </c>
      <c r="L146" s="20" t="s">
        <v>21</v>
      </c>
      <c r="M146" s="20">
        <v>26.0</v>
      </c>
      <c r="N146" s="20">
        <v>98.9</v>
      </c>
      <c r="O146" s="20">
        <v>68.3</v>
      </c>
      <c r="P146" s="20">
        <v>172.3</v>
      </c>
      <c r="Q146" s="20">
        <v>2.853</v>
      </c>
      <c r="R146" s="20">
        <v>14.5</v>
      </c>
      <c r="S146" s="24">
        <v>40782.0</v>
      </c>
    </row>
    <row r="147" ht="15.75" hidden="1" customHeight="1">
      <c r="A147" s="25" t="s">
        <v>191</v>
      </c>
      <c r="B147" s="26" t="s">
        <v>194</v>
      </c>
      <c r="C147" s="27">
        <v>61.70138136</v>
      </c>
      <c r="D147" s="28">
        <v>51102.0</v>
      </c>
      <c r="E147" s="29">
        <v>21200.0</v>
      </c>
      <c r="F147" s="29">
        <v>16725.0</v>
      </c>
      <c r="G147" s="30">
        <f t="shared" si="1"/>
        <v>0.7889150943</v>
      </c>
      <c r="H147" s="30" t="str">
        <f t="shared" si="2"/>
        <v>GOOD</v>
      </c>
      <c r="I147" s="27">
        <v>1.8</v>
      </c>
      <c r="J147" s="27">
        <v>150.0</v>
      </c>
      <c r="K147" s="27" t="str">
        <f t="array" ref="K147">IFS(J147&gt;299,"High HP",J147&gt;99,"Medium HP",J147&lt;100,"Low HP")</f>
        <v>Medium HP</v>
      </c>
      <c r="L147" s="27" t="s">
        <v>21</v>
      </c>
      <c r="M147" s="27">
        <v>27.0</v>
      </c>
      <c r="N147" s="27">
        <v>106.4</v>
      </c>
      <c r="O147" s="27">
        <v>68.5</v>
      </c>
      <c r="P147" s="27">
        <v>184.1</v>
      </c>
      <c r="Q147" s="27">
        <v>3.043</v>
      </c>
      <c r="R147" s="27">
        <v>16.4</v>
      </c>
      <c r="S147" s="31">
        <v>41212.0</v>
      </c>
    </row>
    <row r="148" ht="15.75" hidden="1" customHeight="1">
      <c r="A148" s="18" t="s">
        <v>191</v>
      </c>
      <c r="B148" s="19" t="s">
        <v>195</v>
      </c>
      <c r="C148" s="20">
        <v>48.90737225</v>
      </c>
      <c r="D148" s="21">
        <v>9569.0</v>
      </c>
      <c r="E148" s="22">
        <v>19990.0</v>
      </c>
      <c r="F148" s="22">
        <v>16575.0</v>
      </c>
      <c r="G148" s="23">
        <f t="shared" si="1"/>
        <v>0.8291645823</v>
      </c>
      <c r="H148" s="23" t="str">
        <f t="shared" si="2"/>
        <v>GOOD</v>
      </c>
      <c r="I148" s="20">
        <v>2.0</v>
      </c>
      <c r="J148" s="20">
        <v>115.0</v>
      </c>
      <c r="K148" s="20" t="str">
        <f t="array" ref="K148">IFS(J148&gt;299,"High HP",J148&gt;99,"Medium HP",J148&lt;100,"Low HP")</f>
        <v>Medium HP</v>
      </c>
      <c r="L148" s="20" t="s">
        <v>21</v>
      </c>
      <c r="M148" s="20">
        <v>26.0</v>
      </c>
      <c r="N148" s="20">
        <v>97.4</v>
      </c>
      <c r="O148" s="20">
        <v>66.7</v>
      </c>
      <c r="P148" s="20">
        <v>160.4</v>
      </c>
      <c r="Q148" s="20">
        <v>3.079</v>
      </c>
      <c r="R148" s="20">
        <v>13.7</v>
      </c>
      <c r="S148" s="24">
        <v>40694.0</v>
      </c>
    </row>
    <row r="149" ht="15.75" hidden="1" customHeight="1">
      <c r="A149" s="25" t="s">
        <v>191</v>
      </c>
      <c r="B149" s="26" t="s">
        <v>196</v>
      </c>
      <c r="C149" s="27">
        <v>47.94684106</v>
      </c>
      <c r="D149" s="28">
        <v>5596.0</v>
      </c>
      <c r="E149" s="29">
        <v>17500.0</v>
      </c>
      <c r="F149" s="29">
        <v>13760.0</v>
      </c>
      <c r="G149" s="30">
        <f t="shared" si="1"/>
        <v>0.7862857143</v>
      </c>
      <c r="H149" s="30" t="str">
        <f t="shared" si="2"/>
        <v>GOOD</v>
      </c>
      <c r="I149" s="27">
        <v>2.0</v>
      </c>
      <c r="J149" s="27">
        <v>115.0</v>
      </c>
      <c r="K149" s="27" t="str">
        <f t="array" ref="K149">IFS(J149&gt;299,"High HP",J149&gt;99,"Medium HP",J149&lt;100,"Low HP")</f>
        <v>Medium HP</v>
      </c>
      <c r="L149" s="27" t="s">
        <v>21</v>
      </c>
      <c r="M149" s="27">
        <v>26.0</v>
      </c>
      <c r="N149" s="27">
        <v>98.9</v>
      </c>
      <c r="O149" s="27">
        <v>68.3</v>
      </c>
      <c r="P149" s="27">
        <v>163.3</v>
      </c>
      <c r="Q149" s="27">
        <v>2.762</v>
      </c>
      <c r="R149" s="27">
        <v>14.6</v>
      </c>
      <c r="S149" s="31">
        <v>40634.0</v>
      </c>
    </row>
    <row r="150" ht="15.75" hidden="1" customHeight="1">
      <c r="A150" s="18" t="s">
        <v>191</v>
      </c>
      <c r="B150" s="19" t="s">
        <v>197</v>
      </c>
      <c r="C150" s="20">
        <v>47.32963226</v>
      </c>
      <c r="D150" s="21">
        <v>49463.0</v>
      </c>
      <c r="E150" s="22">
        <v>15900.0</v>
      </c>
      <c r="F150" s="22">
        <v>11986.0</v>
      </c>
      <c r="G150" s="23">
        <f t="shared" si="1"/>
        <v>0.753836478</v>
      </c>
      <c r="H150" s="23" t="str">
        <f t="shared" si="2"/>
        <v>GOOD</v>
      </c>
      <c r="I150" s="20">
        <v>2.0</v>
      </c>
      <c r="J150" s="20">
        <v>115.0</v>
      </c>
      <c r="K150" s="20" t="str">
        <f t="array" ref="K150">IFS(J150&gt;299,"High HP",J150&gt;99,"Medium HP",J150&lt;100,"Low HP")</f>
        <v>Medium HP</v>
      </c>
      <c r="L150" s="20" t="s">
        <v>21</v>
      </c>
      <c r="M150" s="20">
        <v>26.0</v>
      </c>
      <c r="N150" s="20">
        <v>98.9</v>
      </c>
      <c r="O150" s="20">
        <v>67.9</v>
      </c>
      <c r="P150" s="20">
        <v>161.1</v>
      </c>
      <c r="Q150" s="20">
        <v>2.769</v>
      </c>
      <c r="R150" s="20">
        <v>14.5</v>
      </c>
      <c r="S150" s="24">
        <v>40836.0</v>
      </c>
    </row>
    <row r="151" ht="15.75" hidden="1" customHeight="1">
      <c r="A151" s="25" t="s">
        <v>198</v>
      </c>
      <c r="B151" s="26" t="s">
        <v>199</v>
      </c>
      <c r="C151" s="27">
        <v>66.1130568</v>
      </c>
      <c r="D151" s="28">
        <v>16957.0</v>
      </c>
      <c r="E151" s="29">
        <v>23400.0</v>
      </c>
      <c r="F151" s="29">
        <v>14334.0</v>
      </c>
      <c r="G151" s="30">
        <f t="shared" si="1"/>
        <v>0.6125641026</v>
      </c>
      <c r="H151" s="30" t="str">
        <f t="shared" si="2"/>
        <v>POOR</v>
      </c>
      <c r="I151" s="27">
        <v>1.9</v>
      </c>
      <c r="J151" s="27">
        <v>160.0</v>
      </c>
      <c r="K151" s="27" t="str">
        <f t="array" ref="K151">IFS(J151&gt;299,"High HP",J151&gt;99,"Medium HP",J151&lt;100,"Low HP")</f>
        <v>Medium HP</v>
      </c>
      <c r="L151" s="27" t="s">
        <v>21</v>
      </c>
      <c r="M151" s="27">
        <v>25.0</v>
      </c>
      <c r="N151" s="27">
        <v>100.5</v>
      </c>
      <c r="O151" s="27">
        <v>67.6</v>
      </c>
      <c r="P151" s="27">
        <v>176.6</v>
      </c>
      <c r="Q151" s="27">
        <v>2.998</v>
      </c>
      <c r="R151" s="27">
        <v>15.8</v>
      </c>
      <c r="S151" s="31">
        <v>40592.0</v>
      </c>
    </row>
    <row r="152" ht="15.75" hidden="1" customHeight="1">
      <c r="A152" s="18" t="s">
        <v>198</v>
      </c>
      <c r="B152" s="19" t="s">
        <v>200</v>
      </c>
      <c r="C152" s="20">
        <v>66.4988123</v>
      </c>
      <c r="D152" s="21">
        <v>3545.0</v>
      </c>
      <c r="E152" s="22">
        <v>24400.0</v>
      </c>
      <c r="F152" s="22">
        <v>15252.0</v>
      </c>
      <c r="G152" s="23">
        <f t="shared" si="1"/>
        <v>0.6250819672</v>
      </c>
      <c r="H152" s="23" t="str">
        <f t="shared" si="2"/>
        <v>POOR</v>
      </c>
      <c r="I152" s="20">
        <v>1.9</v>
      </c>
      <c r="J152" s="20">
        <v>160.0</v>
      </c>
      <c r="K152" s="20" t="str">
        <f t="array" ref="K152">IFS(J152&gt;299,"High HP",J152&gt;99,"Medium HP",J152&lt;100,"Low HP")</f>
        <v>Medium HP</v>
      </c>
      <c r="L152" s="20" t="s">
        <v>21</v>
      </c>
      <c r="M152" s="20">
        <v>25.0</v>
      </c>
      <c r="N152" s="20">
        <v>100.5</v>
      </c>
      <c r="O152" s="20">
        <v>67.6</v>
      </c>
      <c r="P152" s="20">
        <v>176.6</v>
      </c>
      <c r="Q152" s="20">
        <v>3.042</v>
      </c>
      <c r="R152" s="20">
        <v>15.8</v>
      </c>
      <c r="S152" s="24">
        <v>40807.0</v>
      </c>
    </row>
    <row r="153" ht="15.75" hidden="1" customHeight="1">
      <c r="A153" s="25" t="s">
        <v>198</v>
      </c>
      <c r="B153" s="26" t="s">
        <v>201</v>
      </c>
      <c r="C153" s="27">
        <v>70.65449545</v>
      </c>
      <c r="D153" s="28">
        <v>15245.0</v>
      </c>
      <c r="E153" s="29">
        <v>27500.0</v>
      </c>
      <c r="F153" s="29">
        <v>18900.0</v>
      </c>
      <c r="G153" s="30">
        <f t="shared" si="1"/>
        <v>0.6872727273</v>
      </c>
      <c r="H153" s="30" t="str">
        <f t="shared" si="2"/>
        <v>POOR</v>
      </c>
      <c r="I153" s="27">
        <v>2.4</v>
      </c>
      <c r="J153" s="27">
        <v>168.0</v>
      </c>
      <c r="K153" s="27" t="str">
        <f t="array" ref="K153">IFS(J153&gt;299,"High HP",J153&gt;99,"Medium HP",J153&lt;100,"Low HP")</f>
        <v>Medium HP</v>
      </c>
      <c r="L153" s="27" t="s">
        <v>21</v>
      </c>
      <c r="M153" s="27">
        <v>25.0</v>
      </c>
      <c r="N153" s="27">
        <v>104.9</v>
      </c>
      <c r="O153" s="27">
        <v>69.3</v>
      </c>
      <c r="P153" s="27">
        <v>185.9</v>
      </c>
      <c r="Q153" s="27">
        <v>3.208</v>
      </c>
      <c r="R153" s="27">
        <v>17.9</v>
      </c>
      <c r="S153" s="31">
        <v>41237.0</v>
      </c>
    </row>
    <row r="154" ht="15.75" hidden="1" customHeight="1">
      <c r="A154" s="18" t="s">
        <v>198</v>
      </c>
      <c r="B154" s="19" t="s">
        <v>202</v>
      </c>
      <c r="C154" s="20">
        <v>71.1559776</v>
      </c>
      <c r="D154" s="21">
        <v>17531.0</v>
      </c>
      <c r="E154" s="22">
        <v>28800.0</v>
      </c>
      <c r="F154" s="22">
        <v>20223.0</v>
      </c>
      <c r="G154" s="23">
        <f t="shared" si="1"/>
        <v>0.7021875</v>
      </c>
      <c r="H154" s="23" t="str">
        <f t="shared" si="2"/>
        <v>GOOD</v>
      </c>
      <c r="I154" s="20">
        <v>2.4</v>
      </c>
      <c r="J154" s="20">
        <v>168.0</v>
      </c>
      <c r="K154" s="20" t="str">
        <f t="array" ref="K154">IFS(J154&gt;299,"High HP",J154&gt;99,"Medium HP",J154&lt;100,"Low HP")</f>
        <v>Medium HP</v>
      </c>
      <c r="L154" s="20" t="s">
        <v>21</v>
      </c>
      <c r="M154" s="20">
        <v>25.0</v>
      </c>
      <c r="N154" s="20">
        <v>104.9</v>
      </c>
      <c r="O154" s="20">
        <v>69.3</v>
      </c>
      <c r="P154" s="20">
        <v>186.2</v>
      </c>
      <c r="Q154" s="20">
        <v>3.259</v>
      </c>
      <c r="R154" s="20">
        <v>17.9</v>
      </c>
      <c r="S154" s="24">
        <v>40719.0</v>
      </c>
    </row>
    <row r="155" ht="15.75" hidden="1" customHeight="1">
      <c r="A155" s="25" t="s">
        <v>198</v>
      </c>
      <c r="B155" s="26" t="s">
        <v>203</v>
      </c>
      <c r="C155" s="27">
        <v>101.6233572</v>
      </c>
      <c r="D155" s="28">
        <v>3493.0</v>
      </c>
      <c r="E155" s="29">
        <v>45500.0</v>
      </c>
      <c r="F155" s="29">
        <v>34175.0</v>
      </c>
      <c r="G155" s="30">
        <f t="shared" si="1"/>
        <v>0.7510989011</v>
      </c>
      <c r="H155" s="30" t="str">
        <f t="shared" si="2"/>
        <v>GOOD</v>
      </c>
      <c r="I155" s="27">
        <v>2.3</v>
      </c>
      <c r="J155" s="27">
        <v>236.0</v>
      </c>
      <c r="K155" s="27" t="str">
        <f t="array" ref="K155">IFS(J155&gt;299,"High HP",J155&gt;99,"Medium HP",J155&lt;100,"Low HP")</f>
        <v>Medium HP</v>
      </c>
      <c r="L155" s="27" t="s">
        <v>21</v>
      </c>
      <c r="M155" s="27">
        <v>23.0</v>
      </c>
      <c r="N155" s="27">
        <v>104.9</v>
      </c>
      <c r="O155" s="27">
        <v>71.5</v>
      </c>
      <c r="P155" s="27">
        <v>185.7</v>
      </c>
      <c r="Q155" s="27">
        <v>3.601</v>
      </c>
      <c r="R155" s="27">
        <v>18.5</v>
      </c>
      <c r="S155" s="31">
        <v>40659.0</v>
      </c>
    </row>
    <row r="156" ht="15.75" hidden="1" customHeight="1">
      <c r="A156" s="18" t="s">
        <v>198</v>
      </c>
      <c r="B156" s="19" t="s">
        <v>204</v>
      </c>
      <c r="C156" s="20">
        <v>85.73565451</v>
      </c>
      <c r="D156" s="21">
        <v>18969.0</v>
      </c>
      <c r="E156" s="22">
        <v>36000.0</v>
      </c>
      <c r="F156" s="22">
        <v>26403.0</v>
      </c>
      <c r="G156" s="23">
        <f t="shared" si="1"/>
        <v>0.7334166667</v>
      </c>
      <c r="H156" s="23" t="str">
        <f t="shared" si="2"/>
        <v>GOOD</v>
      </c>
      <c r="I156" s="20">
        <v>2.9</v>
      </c>
      <c r="J156" s="20">
        <v>201.0</v>
      </c>
      <c r="K156" s="20" t="str">
        <f t="array" ref="K156">IFS(J156&gt;299,"High HP",J156&gt;99,"Medium HP",J156&lt;100,"Low HP")</f>
        <v>Medium HP</v>
      </c>
      <c r="L156" s="20" t="s">
        <v>21</v>
      </c>
      <c r="M156" s="20">
        <v>24.0</v>
      </c>
      <c r="N156" s="20">
        <v>109.9</v>
      </c>
      <c r="O156" s="20">
        <v>72.1</v>
      </c>
      <c r="P156" s="20">
        <v>189.8</v>
      </c>
      <c r="Q156" s="20">
        <v>3.6</v>
      </c>
      <c r="R156" s="20">
        <v>21.1</v>
      </c>
      <c r="S156" s="24">
        <v>40861.0</v>
      </c>
    </row>
    <row r="157" ht="15.75" hidden="1" customHeight="1">
      <c r="E157" s="15"/>
    </row>
    <row r="158" ht="15.75" hidden="1" customHeight="1">
      <c r="E158" s="15"/>
    </row>
    <row r="159" ht="15.75" hidden="1" customHeight="1">
      <c r="E159" s="15"/>
    </row>
    <row r="160" ht="15.75" hidden="1" customHeight="1">
      <c r="E160" s="15"/>
    </row>
    <row r="161" ht="15.75" hidden="1" customHeight="1">
      <c r="E161" s="15"/>
    </row>
    <row r="162" ht="15.75" hidden="1" customHeight="1">
      <c r="E162" s="15"/>
    </row>
    <row r="163" ht="15.75" hidden="1" customHeight="1">
      <c r="E163" s="15"/>
    </row>
    <row r="164" ht="15.75" hidden="1" customHeight="1">
      <c r="E164" s="15"/>
    </row>
    <row r="165" ht="15.75" hidden="1" customHeight="1">
      <c r="E165" s="15"/>
    </row>
    <row r="166" ht="15.75" hidden="1" customHeight="1">
      <c r="E166" s="15"/>
    </row>
    <row r="167" ht="15.75" hidden="1" customHeight="1">
      <c r="E167" s="15"/>
    </row>
    <row r="168" ht="15.75" hidden="1" customHeight="1">
      <c r="E168" s="15"/>
    </row>
    <row r="169" ht="15.75" hidden="1" customHeight="1">
      <c r="E169" s="15"/>
    </row>
    <row r="170" ht="15.75" hidden="1" customHeight="1">
      <c r="E170" s="15"/>
    </row>
    <row r="171" ht="15.75" hidden="1" customHeight="1">
      <c r="E171" s="15"/>
    </row>
    <row r="172" ht="15.75" hidden="1" customHeight="1">
      <c r="E172" s="15"/>
    </row>
    <row r="173" ht="15.75" hidden="1" customHeight="1">
      <c r="E173" s="15"/>
    </row>
    <row r="174" ht="15.75" hidden="1" customHeight="1">
      <c r="E174" s="15"/>
    </row>
    <row r="175" ht="15.75" hidden="1" customHeight="1">
      <c r="E175" s="15"/>
    </row>
    <row r="176" ht="15.75" hidden="1" customHeight="1">
      <c r="E176" s="15"/>
    </row>
    <row r="177" ht="15.75" hidden="1" customHeight="1">
      <c r="E177" s="15"/>
    </row>
    <row r="178" ht="15.75" hidden="1" customHeight="1">
      <c r="E178" s="15"/>
    </row>
    <row r="179" ht="15.75" hidden="1" customHeight="1">
      <c r="E179" s="15"/>
    </row>
    <row r="180" ht="15.75" hidden="1" customHeight="1">
      <c r="E180" s="15"/>
    </row>
    <row r="181" ht="15.75" hidden="1" customHeight="1">
      <c r="E181" s="15"/>
    </row>
    <row r="182" ht="15.75" hidden="1" customHeight="1">
      <c r="E182" s="15"/>
    </row>
    <row r="183" ht="15.75" hidden="1" customHeight="1">
      <c r="E183" s="15"/>
    </row>
    <row r="184" ht="15.75" hidden="1" customHeight="1">
      <c r="E184" s="15"/>
    </row>
    <row r="185" ht="15.75" hidden="1" customHeight="1">
      <c r="E185" s="15"/>
    </row>
    <row r="186" ht="15.75" hidden="1" customHeight="1">
      <c r="E186" s="15"/>
    </row>
    <row r="187" ht="15.75" hidden="1" customHeight="1">
      <c r="E187" s="15"/>
    </row>
    <row r="188" ht="15.75" hidden="1" customHeight="1">
      <c r="E188" s="15"/>
    </row>
    <row r="189" ht="15.75" hidden="1" customHeight="1">
      <c r="E189" s="15"/>
    </row>
    <row r="190" ht="15.75" hidden="1" customHeight="1">
      <c r="E190" s="15"/>
    </row>
    <row r="191" ht="15.75" hidden="1" customHeight="1">
      <c r="E191" s="15"/>
    </row>
    <row r="192" ht="15.75" hidden="1" customHeight="1">
      <c r="E192" s="15"/>
    </row>
    <row r="193" ht="15.75" hidden="1" customHeight="1">
      <c r="E193" s="15"/>
    </row>
    <row r="194" ht="15.75" hidden="1" customHeight="1">
      <c r="E194" s="15"/>
    </row>
    <row r="195" ht="15.75" hidden="1" customHeight="1">
      <c r="E195" s="15"/>
    </row>
    <row r="196" ht="15.75" hidden="1" customHeight="1">
      <c r="E196" s="15"/>
    </row>
    <row r="197" ht="15.75" hidden="1" customHeight="1">
      <c r="E197" s="15"/>
    </row>
    <row r="198" ht="15.75" hidden="1" customHeight="1">
      <c r="E198" s="15"/>
    </row>
    <row r="199" ht="15.75" hidden="1" customHeight="1">
      <c r="E199" s="15"/>
    </row>
    <row r="200" ht="15.75" hidden="1" customHeight="1">
      <c r="E200" s="15"/>
    </row>
    <row r="201" ht="15.75" hidden="1" customHeight="1">
      <c r="E201" s="15"/>
    </row>
    <row r="202" ht="15.75" hidden="1" customHeight="1">
      <c r="E202" s="15"/>
    </row>
    <row r="203" ht="15.75" hidden="1" customHeight="1">
      <c r="E203" s="15"/>
    </row>
    <row r="204" ht="15.75" hidden="1" customHeight="1">
      <c r="E204" s="15"/>
    </row>
    <row r="205" ht="15.75" hidden="1" customHeight="1">
      <c r="E205" s="15"/>
    </row>
    <row r="206" ht="15.75" hidden="1" customHeight="1">
      <c r="E206" s="15"/>
    </row>
    <row r="207" ht="15.75" hidden="1" customHeight="1">
      <c r="E207" s="15"/>
    </row>
    <row r="208" ht="15.75" hidden="1" customHeight="1">
      <c r="E208" s="15"/>
    </row>
    <row r="209" ht="15.75" hidden="1" customHeight="1">
      <c r="E209" s="15"/>
    </row>
    <row r="210" ht="15.75" hidden="1" customHeight="1">
      <c r="E210" s="15"/>
    </row>
    <row r="211" ht="15.75" hidden="1" customHeight="1">
      <c r="E211" s="15"/>
    </row>
    <row r="212" ht="15.75" hidden="1" customHeight="1">
      <c r="E212" s="15"/>
    </row>
    <row r="213" ht="15.75" hidden="1" customHeight="1">
      <c r="E213" s="15"/>
    </row>
    <row r="214" ht="15.75" hidden="1" customHeight="1">
      <c r="E214" s="15"/>
    </row>
    <row r="215" ht="15.75" hidden="1" customHeight="1">
      <c r="E215" s="15"/>
    </row>
    <row r="216" ht="15.75" hidden="1" customHeight="1">
      <c r="E216" s="15"/>
    </row>
    <row r="217" ht="15.75" hidden="1" customHeight="1">
      <c r="E217" s="15"/>
    </row>
    <row r="218" ht="15.75" hidden="1" customHeight="1">
      <c r="E218" s="15"/>
    </row>
    <row r="219" ht="15.75" hidden="1" customHeight="1">
      <c r="E219" s="15"/>
    </row>
    <row r="220" ht="15.75" hidden="1" customHeight="1">
      <c r="E220" s="15"/>
    </row>
    <row r="221" ht="15.75" hidden="1" customHeight="1">
      <c r="E221" s="15"/>
    </row>
    <row r="222" ht="15.75" hidden="1" customHeight="1">
      <c r="E222" s="15"/>
    </row>
    <row r="223" ht="15.75" hidden="1" customHeight="1">
      <c r="E223" s="15"/>
    </row>
    <row r="224" ht="15.75" hidden="1" customHeight="1">
      <c r="E224" s="15"/>
    </row>
    <row r="225" ht="15.75" hidden="1" customHeight="1">
      <c r="E225" s="15"/>
    </row>
    <row r="226" ht="15.75" hidden="1" customHeight="1">
      <c r="E226" s="15"/>
    </row>
    <row r="227" ht="15.75" hidden="1" customHeight="1">
      <c r="E227" s="15"/>
    </row>
    <row r="228" ht="15.75" hidden="1" customHeight="1">
      <c r="E228" s="15"/>
    </row>
    <row r="229" ht="15.75" hidden="1" customHeight="1">
      <c r="E229" s="15"/>
    </row>
    <row r="230" ht="15.75" hidden="1" customHeight="1">
      <c r="E230" s="15"/>
    </row>
    <row r="231" ht="15.75" hidden="1" customHeight="1">
      <c r="E231" s="15"/>
    </row>
    <row r="232" ht="15.75" hidden="1" customHeight="1">
      <c r="E232" s="15"/>
    </row>
    <row r="233" ht="15.75" hidden="1" customHeight="1">
      <c r="E233" s="15"/>
    </row>
    <row r="234" ht="15.75" hidden="1" customHeight="1">
      <c r="E234" s="15"/>
    </row>
    <row r="235" ht="15.75" hidden="1" customHeight="1">
      <c r="E235" s="15"/>
    </row>
    <row r="236" ht="15.75" hidden="1" customHeight="1">
      <c r="E236" s="15"/>
    </row>
    <row r="237" ht="15.75" hidden="1" customHeight="1">
      <c r="E237" s="15"/>
    </row>
    <row r="238" ht="15.75" hidden="1" customHeight="1">
      <c r="E238" s="15"/>
    </row>
    <row r="239" ht="15.75" hidden="1" customHeight="1">
      <c r="E239" s="15"/>
    </row>
    <row r="240" ht="15.75" hidden="1" customHeight="1">
      <c r="E240" s="15"/>
    </row>
    <row r="241" ht="15.75" hidden="1" customHeight="1">
      <c r="E241" s="15"/>
    </row>
    <row r="242" ht="15.75" hidden="1" customHeight="1">
      <c r="E242" s="15"/>
    </row>
    <row r="243" ht="15.75" hidden="1" customHeight="1">
      <c r="E243" s="15"/>
    </row>
    <row r="244" ht="15.75" hidden="1" customHeight="1">
      <c r="E244" s="15"/>
    </row>
    <row r="245" ht="15.75" hidden="1" customHeight="1">
      <c r="E245" s="15"/>
    </row>
    <row r="246" ht="15.75" hidden="1" customHeight="1">
      <c r="E246" s="15"/>
    </row>
    <row r="247" ht="15.75" hidden="1" customHeight="1">
      <c r="E247" s="15"/>
    </row>
    <row r="248" ht="15.75" hidden="1" customHeight="1">
      <c r="E248" s="15"/>
    </row>
    <row r="249" ht="15.75" hidden="1" customHeight="1">
      <c r="E249" s="15"/>
    </row>
    <row r="250" ht="15.75" hidden="1" customHeight="1">
      <c r="E250" s="15"/>
    </row>
    <row r="251" ht="15.75" hidden="1" customHeight="1">
      <c r="E251" s="15"/>
    </row>
    <row r="252" ht="15.75" hidden="1" customHeight="1">
      <c r="E252" s="15"/>
    </row>
    <row r="253" ht="15.75" hidden="1" customHeight="1">
      <c r="E253" s="15"/>
    </row>
    <row r="254" ht="15.75" hidden="1" customHeight="1">
      <c r="E254" s="15"/>
    </row>
    <row r="255" ht="15.75" hidden="1" customHeight="1">
      <c r="E255" s="15"/>
    </row>
    <row r="256" ht="15.75" hidden="1" customHeight="1">
      <c r="E256" s="15"/>
    </row>
    <row r="257" ht="15.75" hidden="1" customHeight="1">
      <c r="E257" s="15"/>
    </row>
    <row r="258" ht="15.75" hidden="1" customHeight="1">
      <c r="E258" s="15"/>
    </row>
    <row r="259" ht="15.75" hidden="1" customHeight="1">
      <c r="E259" s="15"/>
    </row>
    <row r="260" ht="15.75" hidden="1" customHeight="1">
      <c r="E260" s="15"/>
    </row>
    <row r="261" ht="15.75" hidden="1" customHeight="1">
      <c r="E261" s="15"/>
    </row>
    <row r="262" ht="15.75" hidden="1" customHeight="1">
      <c r="E262" s="15"/>
    </row>
    <row r="263" ht="15.75" hidden="1" customHeight="1">
      <c r="E263" s="15"/>
    </row>
    <row r="264" ht="15.75" hidden="1" customHeight="1">
      <c r="E264" s="15"/>
    </row>
    <row r="265" ht="15.75" hidden="1" customHeight="1">
      <c r="E265" s="15"/>
    </row>
    <row r="266" ht="15.75" hidden="1" customHeight="1">
      <c r="E266" s="15"/>
    </row>
    <row r="267" ht="15.75" hidden="1" customHeight="1">
      <c r="E267" s="15"/>
    </row>
    <row r="268" ht="15.75" hidden="1" customHeight="1">
      <c r="E268" s="15"/>
    </row>
    <row r="269" ht="15.75" hidden="1" customHeight="1">
      <c r="E269" s="15"/>
    </row>
    <row r="270" ht="15.75" hidden="1" customHeight="1">
      <c r="E270" s="15"/>
    </row>
    <row r="271" ht="15.75" hidden="1" customHeight="1">
      <c r="E271" s="15"/>
    </row>
    <row r="272" ht="15.75" hidden="1" customHeight="1">
      <c r="E272" s="15"/>
    </row>
    <row r="273" ht="15.75" hidden="1" customHeight="1">
      <c r="E273" s="15"/>
    </row>
    <row r="274" ht="15.75" hidden="1" customHeight="1">
      <c r="E274" s="15"/>
    </row>
    <row r="275" ht="15.75" hidden="1" customHeight="1">
      <c r="E275" s="15"/>
    </row>
    <row r="276" ht="15.75" hidden="1" customHeight="1">
      <c r="E276" s="15"/>
    </row>
    <row r="277" ht="15.75" hidden="1" customHeight="1">
      <c r="E277" s="15"/>
    </row>
    <row r="278" ht="15.75" hidden="1" customHeight="1">
      <c r="E278" s="15"/>
    </row>
    <row r="279" ht="15.75" hidden="1" customHeight="1">
      <c r="E279" s="15"/>
    </row>
    <row r="280" ht="15.75" hidden="1" customHeight="1">
      <c r="E280" s="15"/>
    </row>
    <row r="281" ht="15.75" hidden="1" customHeight="1">
      <c r="E281" s="15"/>
    </row>
    <row r="282" ht="15.75" hidden="1" customHeight="1">
      <c r="E282" s="15"/>
    </row>
    <row r="283" ht="15.75" hidden="1" customHeight="1">
      <c r="E283" s="15"/>
    </row>
    <row r="284" ht="15.75" hidden="1" customHeight="1">
      <c r="E284" s="15"/>
    </row>
    <row r="285" ht="15.75" hidden="1" customHeight="1">
      <c r="E285" s="15"/>
    </row>
    <row r="286" ht="15.75" hidden="1" customHeight="1">
      <c r="E286" s="15"/>
    </row>
    <row r="287" ht="15.75" hidden="1" customHeight="1">
      <c r="E287" s="15"/>
    </row>
    <row r="288" ht="15.75" hidden="1" customHeight="1">
      <c r="E288" s="15"/>
    </row>
    <row r="289" ht="15.75" hidden="1" customHeight="1">
      <c r="E289" s="15"/>
    </row>
    <row r="290" ht="15.75" hidden="1" customHeight="1">
      <c r="E290" s="15"/>
    </row>
    <row r="291" ht="15.75" hidden="1" customHeight="1">
      <c r="E291" s="15"/>
    </row>
    <row r="292" ht="15.75" hidden="1" customHeight="1">
      <c r="E292" s="15"/>
    </row>
    <row r="293" ht="15.75" hidden="1" customHeight="1">
      <c r="E293" s="15"/>
    </row>
    <row r="294" ht="15.75" hidden="1" customHeight="1">
      <c r="E294" s="15"/>
    </row>
    <row r="295" ht="15.75" hidden="1" customHeight="1">
      <c r="E295" s="15"/>
    </row>
    <row r="296" ht="15.75" hidden="1" customHeight="1">
      <c r="E296" s="15"/>
    </row>
    <row r="297" ht="15.75" hidden="1" customHeight="1">
      <c r="E297" s="15"/>
    </row>
    <row r="298" ht="15.75" hidden="1" customHeight="1">
      <c r="E298" s="15"/>
    </row>
    <row r="299" ht="15.75" hidden="1" customHeight="1">
      <c r="E299" s="15"/>
    </row>
    <row r="300" ht="15.75" hidden="1" customHeight="1">
      <c r="E300" s="15"/>
    </row>
    <row r="301" ht="15.75" hidden="1" customHeight="1">
      <c r="E301" s="15"/>
    </row>
    <row r="302" ht="15.75" hidden="1" customHeight="1">
      <c r="E302" s="15"/>
    </row>
    <row r="303" ht="15.75" hidden="1" customHeight="1">
      <c r="E303" s="15"/>
    </row>
    <row r="304" ht="15.75" hidden="1" customHeight="1">
      <c r="E304" s="15"/>
    </row>
    <row r="305" ht="15.75" hidden="1" customHeight="1">
      <c r="E305" s="15"/>
    </row>
    <row r="306" ht="15.75" hidden="1" customHeight="1">
      <c r="E306" s="15"/>
    </row>
    <row r="307" ht="15.75" hidden="1" customHeight="1">
      <c r="E307" s="15"/>
    </row>
    <row r="308" ht="15.75" hidden="1" customHeight="1">
      <c r="E308" s="15"/>
    </row>
    <row r="309" ht="15.75" hidden="1" customHeight="1">
      <c r="E309" s="15"/>
    </row>
    <row r="310" ht="15.75" hidden="1" customHeight="1">
      <c r="E310" s="15"/>
    </row>
    <row r="311" ht="15.75" hidden="1" customHeight="1">
      <c r="E311" s="15"/>
    </row>
    <row r="312" ht="15.75" hidden="1" customHeight="1">
      <c r="E312" s="15"/>
    </row>
    <row r="313" ht="15.75" hidden="1" customHeight="1">
      <c r="E313" s="15"/>
    </row>
    <row r="314" ht="15.75" hidden="1" customHeight="1">
      <c r="E314" s="15"/>
    </row>
    <row r="315" ht="15.75" hidden="1" customHeight="1">
      <c r="E315" s="15"/>
    </row>
    <row r="316" ht="15.75" hidden="1" customHeight="1">
      <c r="E316" s="15"/>
    </row>
    <row r="317" ht="15.75" hidden="1" customHeight="1">
      <c r="E317" s="15"/>
    </row>
    <row r="318" ht="15.75" hidden="1" customHeight="1">
      <c r="E318" s="15"/>
    </row>
    <row r="319" ht="15.75" hidden="1" customHeight="1">
      <c r="E319" s="15"/>
    </row>
    <row r="320" ht="15.75" hidden="1" customHeight="1">
      <c r="E320" s="15"/>
    </row>
    <row r="321" ht="15.75" hidden="1" customHeight="1">
      <c r="E321" s="15"/>
    </row>
    <row r="322" ht="15.75" hidden="1" customHeight="1">
      <c r="E322" s="15"/>
    </row>
    <row r="323" ht="15.75" hidden="1" customHeight="1">
      <c r="E323" s="15"/>
    </row>
    <row r="324" ht="15.75" hidden="1" customHeight="1">
      <c r="E324" s="15"/>
    </row>
    <row r="325" ht="15.75" hidden="1" customHeight="1">
      <c r="E325" s="15"/>
    </row>
    <row r="326" ht="15.75" hidden="1" customHeight="1">
      <c r="E326" s="15"/>
    </row>
    <row r="327" ht="15.75" hidden="1" customHeight="1">
      <c r="E327" s="15"/>
    </row>
    <row r="328" ht="15.75" hidden="1" customHeight="1">
      <c r="E328" s="15"/>
    </row>
    <row r="329" ht="15.75" hidden="1" customHeight="1">
      <c r="E329" s="15"/>
    </row>
    <row r="330" ht="15.75" hidden="1" customHeight="1">
      <c r="E330" s="15"/>
    </row>
    <row r="331" ht="15.75" hidden="1" customHeight="1">
      <c r="E331" s="15"/>
    </row>
    <row r="332" ht="15.75" hidden="1" customHeight="1">
      <c r="E332" s="15"/>
    </row>
    <row r="333" ht="15.75" hidden="1" customHeight="1">
      <c r="E333" s="15"/>
    </row>
    <row r="334" ht="15.75" hidden="1" customHeight="1">
      <c r="E334" s="15"/>
    </row>
    <row r="335" ht="15.75" hidden="1" customHeight="1">
      <c r="E335" s="15"/>
    </row>
    <row r="336" ht="15.75" hidden="1" customHeight="1">
      <c r="E336" s="15"/>
    </row>
    <row r="337" ht="15.75" hidden="1" customHeight="1">
      <c r="E337" s="15"/>
    </row>
    <row r="338" ht="15.75" hidden="1" customHeight="1">
      <c r="E338" s="15"/>
    </row>
    <row r="339" ht="15.75" hidden="1" customHeight="1">
      <c r="E339" s="15"/>
    </row>
    <row r="340" ht="15.75" hidden="1" customHeight="1">
      <c r="E340" s="15"/>
    </row>
    <row r="341" ht="15.75" hidden="1" customHeight="1">
      <c r="E341" s="15"/>
    </row>
    <row r="342" ht="15.75" hidden="1" customHeight="1">
      <c r="E342" s="15"/>
    </row>
    <row r="343" ht="15.75" hidden="1" customHeight="1">
      <c r="E343" s="15"/>
    </row>
    <row r="344" ht="15.75" hidden="1" customHeight="1">
      <c r="E344" s="15"/>
    </row>
    <row r="345" ht="15.75" hidden="1" customHeight="1">
      <c r="E345" s="15"/>
    </row>
    <row r="346" ht="15.75" hidden="1" customHeight="1">
      <c r="E346" s="15"/>
    </row>
    <row r="347" ht="15.75" hidden="1" customHeight="1">
      <c r="E347" s="15"/>
    </row>
    <row r="348" ht="15.75" hidden="1" customHeight="1">
      <c r="E348" s="15"/>
    </row>
    <row r="349" ht="15.75" hidden="1" customHeight="1">
      <c r="E349" s="15"/>
    </row>
    <row r="350" ht="15.75" hidden="1" customHeight="1">
      <c r="E350" s="15"/>
    </row>
    <row r="351" ht="15.75" hidden="1" customHeight="1">
      <c r="E351" s="15"/>
    </row>
    <row r="352" ht="15.75" hidden="1" customHeight="1">
      <c r="E352" s="15"/>
    </row>
    <row r="353" ht="15.75" hidden="1" customHeight="1">
      <c r="E353" s="15"/>
    </row>
    <row r="354" ht="15.75" hidden="1" customHeight="1">
      <c r="E354" s="15"/>
    </row>
    <row r="355" ht="15.75" hidden="1" customHeight="1">
      <c r="E355" s="15"/>
    </row>
    <row r="356" ht="15.75" hidden="1" customHeight="1">
      <c r="E356" s="15"/>
    </row>
    <row r="357" ht="15.75" hidden="1" customHeight="1">
      <c r="E357" s="15"/>
    </row>
    <row r="358" ht="15.75" hidden="1" customHeight="1">
      <c r="E358" s="15"/>
    </row>
    <row r="359" ht="15.75" hidden="1" customHeight="1">
      <c r="E359" s="15"/>
    </row>
    <row r="360" ht="15.75" hidden="1" customHeight="1">
      <c r="E360" s="15"/>
    </row>
    <row r="361" ht="15.75" hidden="1" customHeight="1">
      <c r="E361" s="15"/>
    </row>
    <row r="362" ht="15.75" hidden="1" customHeight="1">
      <c r="E362" s="15"/>
    </row>
    <row r="363" ht="15.75" hidden="1" customHeight="1">
      <c r="E363" s="15"/>
    </row>
    <row r="364" ht="15.75" hidden="1" customHeight="1">
      <c r="E364" s="15"/>
    </row>
    <row r="365" ht="15.75" hidden="1" customHeight="1">
      <c r="E365" s="15"/>
    </row>
    <row r="366" ht="15.75" hidden="1" customHeight="1">
      <c r="E366" s="15"/>
    </row>
    <row r="367" ht="15.75" hidden="1" customHeight="1">
      <c r="E367" s="15"/>
    </row>
    <row r="368" ht="15.75" hidden="1" customHeight="1">
      <c r="E368" s="15"/>
    </row>
    <row r="369" ht="15.75" hidden="1" customHeight="1">
      <c r="E369" s="15"/>
    </row>
    <row r="370" ht="15.75" hidden="1" customHeight="1">
      <c r="E370" s="15"/>
    </row>
    <row r="371" ht="15.75" hidden="1" customHeight="1">
      <c r="E371" s="15"/>
    </row>
    <row r="372" ht="15.75" hidden="1" customHeight="1">
      <c r="E372" s="15"/>
    </row>
    <row r="373" ht="15.75" hidden="1" customHeight="1">
      <c r="E373" s="15"/>
    </row>
    <row r="374" ht="15.75" hidden="1" customHeight="1">
      <c r="E374" s="15"/>
    </row>
    <row r="375" ht="15.75" hidden="1" customHeight="1">
      <c r="E375" s="15"/>
    </row>
    <row r="376" ht="15.75" hidden="1" customHeight="1">
      <c r="E376" s="15"/>
    </row>
    <row r="377" ht="15.75" hidden="1" customHeight="1">
      <c r="E377" s="15"/>
    </row>
    <row r="378" ht="15.75" hidden="1" customHeight="1">
      <c r="E378" s="15"/>
    </row>
    <row r="379" ht="15.75" hidden="1" customHeight="1">
      <c r="E379" s="15"/>
    </row>
    <row r="380" ht="15.75" hidden="1" customHeight="1">
      <c r="E380" s="15"/>
    </row>
    <row r="381" ht="15.75" hidden="1" customHeight="1">
      <c r="E381" s="15"/>
    </row>
    <row r="382" ht="15.75" hidden="1" customHeight="1">
      <c r="E382" s="15"/>
    </row>
    <row r="383" ht="15.75" hidden="1" customHeight="1">
      <c r="E383" s="15"/>
    </row>
    <row r="384" ht="15.75" hidden="1" customHeight="1">
      <c r="E384" s="15"/>
    </row>
    <row r="385" ht="15.75" hidden="1" customHeight="1">
      <c r="E385" s="15"/>
    </row>
    <row r="386" ht="15.75" hidden="1" customHeight="1">
      <c r="E386" s="15"/>
    </row>
    <row r="387" ht="15.75" hidden="1" customHeight="1">
      <c r="E387" s="15"/>
    </row>
    <row r="388" ht="15.75" hidden="1" customHeight="1">
      <c r="E388" s="15"/>
    </row>
    <row r="389" ht="15.75" hidden="1" customHeight="1">
      <c r="E389" s="15"/>
    </row>
    <row r="390" ht="15.75" hidden="1" customHeight="1">
      <c r="E390" s="15"/>
    </row>
    <row r="391" ht="15.75" hidden="1" customHeight="1">
      <c r="E391" s="15"/>
    </row>
    <row r="392" ht="15.75" hidden="1" customHeight="1">
      <c r="E392" s="15"/>
    </row>
    <row r="393" ht="15.75" hidden="1" customHeight="1">
      <c r="E393" s="15"/>
    </row>
    <row r="394" ht="15.75" hidden="1" customHeight="1">
      <c r="E394" s="15"/>
    </row>
    <row r="395" ht="15.75" hidden="1" customHeight="1">
      <c r="E395" s="15"/>
    </row>
    <row r="396" ht="15.75" hidden="1" customHeight="1">
      <c r="E396" s="15"/>
    </row>
    <row r="397" ht="15.75" hidden="1" customHeight="1">
      <c r="E397" s="15"/>
    </row>
    <row r="398" ht="15.75" hidden="1" customHeight="1">
      <c r="E398" s="15"/>
    </row>
    <row r="399" ht="15.75" hidden="1" customHeight="1">
      <c r="E399" s="15"/>
    </row>
    <row r="400" ht="15.75" hidden="1" customHeight="1">
      <c r="E400" s="15"/>
    </row>
    <row r="401" ht="15.75" hidden="1" customHeight="1">
      <c r="E401" s="15"/>
    </row>
    <row r="402" ht="15.75" hidden="1" customHeight="1">
      <c r="E402" s="15"/>
    </row>
    <row r="403" ht="15.75" hidden="1" customHeight="1">
      <c r="E403" s="15"/>
    </row>
    <row r="404" ht="15.75" hidden="1" customHeight="1">
      <c r="E404" s="15"/>
    </row>
    <row r="405" ht="15.75" hidden="1" customHeight="1">
      <c r="E405" s="15"/>
    </row>
    <row r="406" ht="15.75" hidden="1" customHeight="1">
      <c r="E406" s="15"/>
    </row>
    <row r="407" ht="15.75" hidden="1" customHeight="1">
      <c r="E407" s="15"/>
    </row>
    <row r="408" ht="15.75" hidden="1" customHeight="1">
      <c r="E408" s="15"/>
    </row>
    <row r="409" ht="15.75" hidden="1" customHeight="1">
      <c r="E409" s="15"/>
    </row>
    <row r="410" ht="15.75" hidden="1" customHeight="1">
      <c r="E410" s="15"/>
    </row>
    <row r="411" ht="15.75" hidden="1" customHeight="1">
      <c r="E411" s="15"/>
    </row>
    <row r="412" ht="15.75" hidden="1" customHeight="1">
      <c r="E412" s="15"/>
    </row>
    <row r="413" ht="15.75" hidden="1" customHeight="1">
      <c r="E413" s="15"/>
    </row>
    <row r="414" ht="15.75" hidden="1" customHeight="1">
      <c r="E414" s="15"/>
    </row>
    <row r="415" ht="15.75" hidden="1" customHeight="1">
      <c r="E415" s="15"/>
    </row>
    <row r="416" ht="15.75" hidden="1" customHeight="1">
      <c r="E416" s="15"/>
    </row>
    <row r="417" ht="15.75" hidden="1" customHeight="1">
      <c r="E417" s="15"/>
    </row>
    <row r="418" ht="15.75" hidden="1" customHeight="1">
      <c r="E418" s="15"/>
    </row>
    <row r="419" ht="15.75" hidden="1" customHeight="1">
      <c r="E419" s="15"/>
    </row>
    <row r="420" ht="15.75" hidden="1" customHeight="1">
      <c r="E420" s="15"/>
    </row>
    <row r="421" ht="15.75" hidden="1" customHeight="1">
      <c r="E421" s="15"/>
    </row>
    <row r="422" ht="15.75" hidden="1" customHeight="1">
      <c r="E422" s="15"/>
    </row>
    <row r="423" ht="15.75" hidden="1" customHeight="1">
      <c r="E423" s="15"/>
    </row>
    <row r="424" ht="15.75" hidden="1" customHeight="1">
      <c r="E424" s="15"/>
    </row>
    <row r="425" ht="15.75" hidden="1" customHeight="1">
      <c r="E425" s="15"/>
    </row>
    <row r="426" ht="15.75" hidden="1" customHeight="1">
      <c r="E426" s="15"/>
    </row>
    <row r="427" ht="15.75" hidden="1" customHeight="1">
      <c r="E427" s="15"/>
    </row>
    <row r="428" ht="15.75" hidden="1" customHeight="1">
      <c r="E428" s="15"/>
    </row>
    <row r="429" ht="15.75" hidden="1" customHeight="1">
      <c r="E429" s="15"/>
    </row>
    <row r="430" ht="15.75" hidden="1" customHeight="1">
      <c r="E430" s="15"/>
    </row>
    <row r="431" ht="15.75" hidden="1" customHeight="1">
      <c r="E431" s="15"/>
    </row>
    <row r="432" ht="15.75" hidden="1" customHeight="1">
      <c r="E432" s="15"/>
    </row>
    <row r="433" ht="15.75" hidden="1" customHeight="1">
      <c r="E433" s="15"/>
    </row>
    <row r="434" ht="15.75" hidden="1" customHeight="1">
      <c r="E434" s="15"/>
    </row>
    <row r="435" ht="15.75" hidden="1" customHeight="1">
      <c r="E435" s="15"/>
    </row>
    <row r="436" ht="15.75" hidden="1" customHeight="1">
      <c r="E436" s="15"/>
    </row>
    <row r="437" ht="15.75" hidden="1" customHeight="1">
      <c r="E437" s="15"/>
    </row>
    <row r="438" ht="15.75" hidden="1" customHeight="1">
      <c r="E438" s="15"/>
    </row>
    <row r="439" ht="15.75" hidden="1" customHeight="1">
      <c r="E439" s="15"/>
    </row>
    <row r="440" ht="15.75" hidden="1" customHeight="1">
      <c r="E440" s="15"/>
    </row>
    <row r="441" ht="15.75" hidden="1" customHeight="1">
      <c r="E441" s="15"/>
    </row>
    <row r="442" ht="15.75" hidden="1" customHeight="1">
      <c r="E442" s="15"/>
    </row>
    <row r="443" ht="15.75" hidden="1" customHeight="1">
      <c r="E443" s="15"/>
    </row>
    <row r="444" ht="15.75" hidden="1" customHeight="1">
      <c r="E444" s="15"/>
    </row>
    <row r="445" ht="15.75" hidden="1" customHeight="1">
      <c r="E445" s="15"/>
    </row>
    <row r="446" ht="15.75" hidden="1" customHeight="1">
      <c r="E446" s="15"/>
    </row>
    <row r="447" ht="15.75" hidden="1" customHeight="1">
      <c r="E447" s="15"/>
    </row>
    <row r="448" ht="15.75" hidden="1" customHeight="1">
      <c r="E448" s="15"/>
    </row>
    <row r="449" ht="15.75" hidden="1" customHeight="1">
      <c r="E449" s="15"/>
    </row>
    <row r="450" ht="15.75" hidden="1" customHeight="1">
      <c r="E450" s="15"/>
    </row>
    <row r="451" ht="15.75" hidden="1" customHeight="1">
      <c r="E451" s="15"/>
    </row>
    <row r="452" ht="15.75" hidden="1" customHeight="1">
      <c r="E452" s="15"/>
    </row>
    <row r="453" ht="15.75" hidden="1" customHeight="1">
      <c r="E453" s="15"/>
    </row>
    <row r="454" ht="15.75" hidden="1" customHeight="1">
      <c r="E454" s="15"/>
    </row>
    <row r="455" ht="15.75" hidden="1" customHeight="1">
      <c r="E455" s="15"/>
    </row>
    <row r="456" ht="15.75" hidden="1" customHeight="1">
      <c r="E456" s="15"/>
    </row>
    <row r="457" ht="15.75" hidden="1" customHeight="1">
      <c r="E457" s="15"/>
    </row>
    <row r="458" ht="15.75" hidden="1" customHeight="1">
      <c r="E458" s="15"/>
    </row>
    <row r="459" ht="15.75" hidden="1" customHeight="1">
      <c r="E459" s="15"/>
    </row>
    <row r="460" ht="15.75" hidden="1" customHeight="1">
      <c r="E460" s="15"/>
    </row>
    <row r="461" ht="15.75" hidden="1" customHeight="1">
      <c r="E461" s="15"/>
    </row>
    <row r="462" ht="15.75" hidden="1" customHeight="1">
      <c r="E462" s="15"/>
    </row>
    <row r="463" ht="15.75" hidden="1" customHeight="1">
      <c r="E463" s="15"/>
    </row>
    <row r="464" ht="15.75" hidden="1" customHeight="1">
      <c r="E464" s="15"/>
    </row>
    <row r="465" ht="15.75" hidden="1" customHeight="1">
      <c r="E465" s="15"/>
    </row>
    <row r="466" ht="15.75" hidden="1" customHeight="1">
      <c r="E466" s="15"/>
    </row>
    <row r="467" ht="15.75" hidden="1" customHeight="1">
      <c r="E467" s="15"/>
    </row>
    <row r="468" ht="15.75" hidden="1" customHeight="1">
      <c r="E468" s="15"/>
    </row>
    <row r="469" ht="15.75" hidden="1" customHeight="1">
      <c r="E469" s="15"/>
    </row>
    <row r="470" ht="15.75" hidden="1" customHeight="1">
      <c r="E470" s="15"/>
    </row>
    <row r="471" ht="15.75" hidden="1" customHeight="1">
      <c r="E471" s="15"/>
    </row>
    <row r="472" ht="15.75" hidden="1" customHeight="1">
      <c r="E472" s="15"/>
    </row>
    <row r="473" ht="15.75" hidden="1" customHeight="1">
      <c r="E473" s="15"/>
    </row>
    <row r="474" ht="15.75" hidden="1" customHeight="1">
      <c r="E474" s="15"/>
    </row>
    <row r="475" ht="15.75" hidden="1" customHeight="1">
      <c r="E475" s="15"/>
    </row>
    <row r="476" ht="15.75" hidden="1" customHeight="1">
      <c r="E476" s="15"/>
    </row>
    <row r="477" ht="15.75" hidden="1" customHeight="1">
      <c r="E477" s="15"/>
    </row>
    <row r="478" ht="15.75" hidden="1" customHeight="1">
      <c r="E478" s="15"/>
    </row>
    <row r="479" ht="15.75" hidden="1" customHeight="1">
      <c r="E479" s="15"/>
    </row>
    <row r="480" ht="15.75" hidden="1" customHeight="1">
      <c r="E480" s="15"/>
    </row>
    <row r="481" ht="15.75" hidden="1" customHeight="1">
      <c r="E481" s="15"/>
    </row>
    <row r="482" ht="15.75" hidden="1" customHeight="1">
      <c r="E482" s="15"/>
    </row>
    <row r="483" ht="15.75" hidden="1" customHeight="1">
      <c r="E483" s="15"/>
    </row>
    <row r="484" ht="15.75" hidden="1" customHeight="1">
      <c r="E484" s="15"/>
    </row>
    <row r="485" ht="15.75" hidden="1" customHeight="1">
      <c r="E485" s="15"/>
    </row>
    <row r="486" ht="15.75" hidden="1" customHeight="1">
      <c r="E486" s="15"/>
    </row>
    <row r="487" ht="15.75" hidden="1" customHeight="1">
      <c r="E487" s="15"/>
    </row>
    <row r="488" ht="15.75" hidden="1" customHeight="1">
      <c r="E488" s="15"/>
    </row>
    <row r="489" ht="15.75" hidden="1" customHeight="1">
      <c r="E489" s="15"/>
    </row>
    <row r="490" ht="15.75" hidden="1" customHeight="1">
      <c r="E490" s="15"/>
    </row>
    <row r="491" ht="15.75" hidden="1" customHeight="1">
      <c r="E491" s="15"/>
    </row>
    <row r="492" ht="15.75" hidden="1" customHeight="1">
      <c r="E492" s="15"/>
    </row>
    <row r="493" ht="15.75" hidden="1" customHeight="1">
      <c r="E493" s="15"/>
    </row>
    <row r="494" ht="15.75" hidden="1" customHeight="1">
      <c r="E494" s="15"/>
    </row>
    <row r="495" ht="15.75" hidden="1" customHeight="1">
      <c r="E495" s="15"/>
    </row>
    <row r="496" ht="15.75" hidden="1" customHeight="1">
      <c r="E496" s="15"/>
    </row>
    <row r="497" ht="15.75" hidden="1" customHeight="1">
      <c r="E497" s="15"/>
    </row>
    <row r="498" ht="15.75" hidden="1" customHeight="1">
      <c r="E498" s="15"/>
    </row>
    <row r="499" ht="15.75" hidden="1" customHeight="1">
      <c r="E499" s="15"/>
    </row>
    <row r="500" ht="15.75" hidden="1" customHeight="1">
      <c r="E500" s="15"/>
    </row>
    <row r="501" ht="15.75" hidden="1" customHeight="1">
      <c r="E501" s="15"/>
    </row>
    <row r="502" ht="15.75" hidden="1" customHeight="1">
      <c r="E502" s="15"/>
    </row>
    <row r="503" ht="15.75" hidden="1" customHeight="1">
      <c r="E503" s="15"/>
    </row>
    <row r="504" ht="15.75" hidden="1" customHeight="1">
      <c r="E504" s="15"/>
    </row>
    <row r="505" ht="15.75" hidden="1" customHeight="1">
      <c r="E505" s="15"/>
    </row>
    <row r="506" ht="15.75" hidden="1" customHeight="1">
      <c r="E506" s="15"/>
    </row>
    <row r="507" ht="15.75" hidden="1" customHeight="1">
      <c r="E507" s="15"/>
    </row>
    <row r="508" ht="15.75" hidden="1" customHeight="1">
      <c r="E508" s="15"/>
    </row>
    <row r="509" ht="15.75" hidden="1" customHeight="1">
      <c r="E509" s="15"/>
    </row>
    <row r="510" ht="15.75" hidden="1" customHeight="1">
      <c r="E510" s="15"/>
    </row>
    <row r="511" ht="15.75" hidden="1" customHeight="1">
      <c r="E511" s="15"/>
    </row>
    <row r="512" ht="15.75" hidden="1" customHeight="1">
      <c r="E512" s="15"/>
    </row>
    <row r="513" ht="15.75" hidden="1" customHeight="1">
      <c r="E513" s="15"/>
    </row>
    <row r="514" ht="15.75" hidden="1" customHeight="1">
      <c r="E514" s="15"/>
    </row>
    <row r="515" ht="15.75" hidden="1" customHeight="1">
      <c r="E515" s="15"/>
    </row>
    <row r="516" ht="15.75" hidden="1" customHeight="1">
      <c r="E516" s="15"/>
    </row>
    <row r="517" ht="15.75" hidden="1" customHeight="1">
      <c r="E517" s="15"/>
    </row>
    <row r="518" ht="15.75" hidden="1" customHeight="1">
      <c r="E518" s="15"/>
    </row>
    <row r="519" ht="15.75" hidden="1" customHeight="1">
      <c r="E519" s="15"/>
    </row>
    <row r="520" ht="15.75" hidden="1" customHeight="1">
      <c r="E520" s="15"/>
    </row>
    <row r="521" ht="15.75" hidden="1" customHeight="1">
      <c r="E521" s="15"/>
    </row>
    <row r="522" ht="15.75" hidden="1" customHeight="1">
      <c r="E522" s="15"/>
    </row>
    <row r="523" ht="15.75" hidden="1" customHeight="1">
      <c r="E523" s="15"/>
    </row>
    <row r="524" ht="15.75" hidden="1" customHeight="1">
      <c r="E524" s="15"/>
    </row>
    <row r="525" ht="15.75" hidden="1" customHeight="1">
      <c r="E525" s="15"/>
    </row>
    <row r="526" ht="15.75" hidden="1" customHeight="1">
      <c r="E526" s="15"/>
    </row>
    <row r="527" ht="15.75" hidden="1" customHeight="1">
      <c r="E527" s="15"/>
    </row>
    <row r="528" ht="15.75" hidden="1" customHeight="1">
      <c r="E528" s="15"/>
    </row>
    <row r="529" ht="15.75" hidden="1" customHeight="1">
      <c r="E529" s="15"/>
    </row>
    <row r="530" ht="15.75" hidden="1" customHeight="1">
      <c r="E530" s="15"/>
    </row>
    <row r="531" ht="15.75" hidden="1" customHeight="1">
      <c r="E531" s="15"/>
    </row>
    <row r="532" ht="15.75" hidden="1" customHeight="1">
      <c r="E532" s="15"/>
    </row>
    <row r="533" ht="15.75" hidden="1" customHeight="1">
      <c r="E533" s="15"/>
    </row>
    <row r="534" ht="15.75" hidden="1" customHeight="1">
      <c r="E534" s="15"/>
    </row>
    <row r="535" ht="15.75" hidden="1" customHeight="1">
      <c r="E535" s="15"/>
    </row>
    <row r="536" ht="15.75" hidden="1" customHeight="1">
      <c r="E536" s="15"/>
    </row>
    <row r="537" ht="15.75" hidden="1" customHeight="1">
      <c r="E537" s="15"/>
    </row>
    <row r="538" ht="15.75" hidden="1" customHeight="1">
      <c r="E538" s="15"/>
    </row>
    <row r="539" ht="15.75" hidden="1" customHeight="1">
      <c r="E539" s="15"/>
    </row>
    <row r="540" ht="15.75" hidden="1" customHeight="1">
      <c r="E540" s="15"/>
    </row>
    <row r="541" ht="15.75" hidden="1" customHeight="1">
      <c r="E541" s="15"/>
    </row>
    <row r="542" ht="15.75" hidden="1" customHeight="1">
      <c r="E542" s="15"/>
    </row>
    <row r="543" ht="15.75" hidden="1" customHeight="1">
      <c r="E543" s="15"/>
    </row>
    <row r="544" ht="15.75" hidden="1" customHeight="1">
      <c r="E544" s="15"/>
    </row>
    <row r="545" ht="15.75" hidden="1" customHeight="1">
      <c r="E545" s="15"/>
    </row>
    <row r="546" ht="15.75" hidden="1" customHeight="1">
      <c r="E546" s="15"/>
    </row>
    <row r="547" ht="15.75" hidden="1" customHeight="1">
      <c r="E547" s="15"/>
    </row>
    <row r="548" ht="15.75" hidden="1" customHeight="1">
      <c r="E548" s="15"/>
    </row>
    <row r="549" ht="15.75" hidden="1" customHeight="1">
      <c r="E549" s="15"/>
    </row>
    <row r="550" ht="15.75" hidden="1" customHeight="1">
      <c r="E550" s="15"/>
    </row>
    <row r="551" ht="15.75" hidden="1" customHeight="1">
      <c r="E551" s="15"/>
    </row>
    <row r="552" ht="15.75" hidden="1" customHeight="1">
      <c r="E552" s="15"/>
    </row>
    <row r="553" ht="15.75" hidden="1" customHeight="1">
      <c r="E553" s="15"/>
    </row>
    <row r="554" ht="15.75" hidden="1" customHeight="1">
      <c r="E554" s="15"/>
    </row>
    <row r="555" ht="15.75" hidden="1" customHeight="1">
      <c r="E555" s="15"/>
    </row>
    <row r="556" ht="15.75" hidden="1" customHeight="1">
      <c r="E556" s="15"/>
    </row>
    <row r="557" ht="15.75" hidden="1" customHeight="1">
      <c r="E557" s="15"/>
    </row>
    <row r="558" ht="15.75" hidden="1" customHeight="1">
      <c r="E558" s="15"/>
    </row>
    <row r="559" ht="15.75" hidden="1" customHeight="1">
      <c r="E559" s="15"/>
    </row>
    <row r="560" ht="15.75" hidden="1" customHeight="1">
      <c r="E560" s="15"/>
    </row>
    <row r="561" ht="15.75" hidden="1" customHeight="1">
      <c r="E561" s="15"/>
    </row>
    <row r="562" ht="15.75" hidden="1" customHeight="1">
      <c r="E562" s="15"/>
    </row>
    <row r="563" ht="15.75" hidden="1" customHeight="1">
      <c r="E563" s="15"/>
    </row>
    <row r="564" ht="15.75" hidden="1" customHeight="1">
      <c r="E564" s="15"/>
    </row>
    <row r="565" ht="15.75" hidden="1" customHeight="1">
      <c r="E565" s="15"/>
    </row>
    <row r="566" ht="15.75" hidden="1" customHeight="1">
      <c r="E566" s="15"/>
    </row>
    <row r="567" ht="15.75" hidden="1" customHeight="1">
      <c r="E567" s="15"/>
    </row>
    <row r="568" ht="15.75" hidden="1" customHeight="1">
      <c r="E568" s="15"/>
    </row>
    <row r="569" ht="15.75" hidden="1" customHeight="1">
      <c r="E569" s="15"/>
    </row>
    <row r="570" ht="15.75" hidden="1" customHeight="1">
      <c r="E570" s="15"/>
    </row>
    <row r="571" ht="15.75" hidden="1" customHeight="1">
      <c r="E571" s="15"/>
    </row>
    <row r="572" ht="15.75" hidden="1" customHeight="1">
      <c r="E572" s="15"/>
    </row>
    <row r="573" ht="15.75" hidden="1" customHeight="1">
      <c r="E573" s="15"/>
    </row>
    <row r="574" ht="15.75" hidden="1" customHeight="1">
      <c r="E574" s="15"/>
    </row>
    <row r="575" ht="15.75" hidden="1" customHeight="1">
      <c r="E575" s="15"/>
    </row>
    <row r="576" ht="15.75" hidden="1" customHeight="1">
      <c r="E576" s="15"/>
    </row>
    <row r="577" ht="15.75" hidden="1" customHeight="1">
      <c r="E577" s="15"/>
    </row>
    <row r="578" ht="15.75" hidden="1" customHeight="1">
      <c r="E578" s="15"/>
    </row>
    <row r="579" ht="15.75" hidden="1" customHeight="1">
      <c r="E579" s="15"/>
    </row>
    <row r="580" ht="15.75" hidden="1" customHeight="1">
      <c r="E580" s="15"/>
    </row>
    <row r="581" ht="15.75" hidden="1" customHeight="1">
      <c r="E581" s="15"/>
    </row>
    <row r="582" ht="15.75" hidden="1" customHeight="1">
      <c r="E582" s="15"/>
    </row>
    <row r="583" ht="15.75" hidden="1" customHeight="1">
      <c r="E583" s="15"/>
    </row>
    <row r="584" ht="15.75" hidden="1" customHeight="1">
      <c r="E584" s="15"/>
    </row>
    <row r="585" ht="15.75" hidden="1" customHeight="1">
      <c r="E585" s="15"/>
    </row>
    <row r="586" ht="15.75" hidden="1" customHeight="1">
      <c r="E586" s="15"/>
    </row>
    <row r="587" ht="15.75" hidden="1" customHeight="1">
      <c r="E587" s="15"/>
    </row>
    <row r="588" ht="15.75" hidden="1" customHeight="1">
      <c r="E588" s="15"/>
    </row>
    <row r="589" ht="15.75" hidden="1" customHeight="1">
      <c r="E589" s="15"/>
    </row>
    <row r="590" ht="15.75" hidden="1" customHeight="1">
      <c r="E590" s="15"/>
    </row>
    <row r="591" ht="15.75" hidden="1" customHeight="1">
      <c r="E591" s="15"/>
    </row>
    <row r="592" ht="15.75" hidden="1" customHeight="1">
      <c r="E592" s="15"/>
    </row>
    <row r="593" ht="15.75" hidden="1" customHeight="1">
      <c r="E593" s="15"/>
    </row>
    <row r="594" ht="15.75" hidden="1" customHeight="1">
      <c r="E594" s="15"/>
    </row>
    <row r="595" ht="15.75" hidden="1" customHeight="1">
      <c r="E595" s="15"/>
    </row>
    <row r="596" ht="15.75" hidden="1" customHeight="1">
      <c r="E596" s="15"/>
    </row>
    <row r="597" ht="15.75" hidden="1" customHeight="1">
      <c r="E597" s="15"/>
    </row>
    <row r="598" ht="15.75" hidden="1" customHeight="1">
      <c r="E598" s="15"/>
    </row>
    <row r="599" ht="15.75" hidden="1" customHeight="1">
      <c r="E599" s="15"/>
    </row>
    <row r="600" ht="15.75" hidden="1" customHeight="1">
      <c r="E600" s="15"/>
    </row>
    <row r="601" ht="15.75" hidden="1" customHeight="1">
      <c r="E601" s="15"/>
    </row>
    <row r="602" ht="15.75" hidden="1" customHeight="1">
      <c r="E602" s="15"/>
    </row>
    <row r="603" ht="15.75" hidden="1" customHeight="1">
      <c r="E603" s="15"/>
    </row>
    <row r="604" ht="15.75" hidden="1" customHeight="1">
      <c r="E604" s="15"/>
    </row>
    <row r="605" ht="15.75" hidden="1" customHeight="1">
      <c r="E605" s="15"/>
    </row>
    <row r="606" ht="15.75" hidden="1" customHeight="1">
      <c r="E606" s="15"/>
    </row>
    <row r="607" ht="15.75" hidden="1" customHeight="1">
      <c r="E607" s="15"/>
    </row>
    <row r="608" ht="15.75" hidden="1" customHeight="1">
      <c r="E608" s="15"/>
    </row>
    <row r="609" ht="15.75" hidden="1" customHeight="1">
      <c r="E609" s="15"/>
    </row>
    <row r="610" ht="15.75" hidden="1" customHeight="1">
      <c r="E610" s="15"/>
    </row>
    <row r="611" ht="15.75" hidden="1" customHeight="1">
      <c r="E611" s="15"/>
    </row>
    <row r="612" ht="15.75" hidden="1" customHeight="1">
      <c r="E612" s="15"/>
    </row>
    <row r="613" ht="15.75" hidden="1" customHeight="1">
      <c r="E613" s="15"/>
    </row>
    <row r="614" ht="15.75" hidden="1" customHeight="1">
      <c r="E614" s="15"/>
    </row>
    <row r="615" ht="15.75" hidden="1" customHeight="1">
      <c r="E615" s="15"/>
    </row>
    <row r="616" ht="15.75" hidden="1" customHeight="1">
      <c r="E616" s="15"/>
    </row>
    <row r="617" ht="15.75" hidden="1" customHeight="1">
      <c r="E617" s="15"/>
    </row>
    <row r="618" ht="15.75" hidden="1" customHeight="1">
      <c r="E618" s="15"/>
    </row>
    <row r="619" ht="15.75" hidden="1" customHeight="1">
      <c r="E619" s="15"/>
    </row>
    <row r="620" ht="15.75" hidden="1" customHeight="1">
      <c r="E620" s="15"/>
    </row>
    <row r="621" ht="15.75" hidden="1" customHeight="1">
      <c r="E621" s="15"/>
    </row>
    <row r="622" ht="15.75" hidden="1" customHeight="1">
      <c r="E622" s="15"/>
    </row>
    <row r="623" ht="15.75" hidden="1" customHeight="1">
      <c r="E623" s="15"/>
    </row>
    <row r="624" ht="15.75" hidden="1" customHeight="1">
      <c r="E624" s="15"/>
    </row>
    <row r="625" ht="15.75" hidden="1" customHeight="1">
      <c r="E625" s="15"/>
    </row>
    <row r="626" ht="15.75" hidden="1" customHeight="1">
      <c r="E626" s="15"/>
    </row>
    <row r="627" ht="15.75" hidden="1" customHeight="1">
      <c r="E627" s="15"/>
    </row>
    <row r="628" ht="15.75" hidden="1" customHeight="1">
      <c r="E628" s="15"/>
    </row>
    <row r="629" ht="15.75" hidden="1" customHeight="1">
      <c r="E629" s="15"/>
    </row>
    <row r="630" ht="15.75" hidden="1" customHeight="1">
      <c r="E630" s="15"/>
    </row>
    <row r="631" ht="15.75" hidden="1" customHeight="1">
      <c r="E631" s="15"/>
    </row>
    <row r="632" ht="15.75" hidden="1" customHeight="1">
      <c r="E632" s="15"/>
    </row>
    <row r="633" ht="15.75" hidden="1" customHeight="1">
      <c r="E633" s="15"/>
    </row>
    <row r="634" ht="15.75" hidden="1" customHeight="1">
      <c r="E634" s="15"/>
    </row>
    <row r="635" ht="15.75" hidden="1" customHeight="1">
      <c r="E635" s="15"/>
    </row>
    <row r="636" ht="15.75" hidden="1" customHeight="1">
      <c r="E636" s="15"/>
    </row>
    <row r="637" ht="15.75" hidden="1" customHeight="1">
      <c r="E637" s="15"/>
    </row>
    <row r="638" ht="15.75" hidden="1" customHeight="1">
      <c r="E638" s="15"/>
    </row>
    <row r="639" ht="15.75" hidden="1" customHeight="1">
      <c r="E639" s="15"/>
    </row>
    <row r="640" ht="15.75" hidden="1" customHeight="1">
      <c r="E640" s="15"/>
    </row>
    <row r="641" ht="15.75" hidden="1" customHeight="1">
      <c r="E641" s="15"/>
    </row>
    <row r="642" ht="15.75" hidden="1" customHeight="1">
      <c r="E642" s="15"/>
    </row>
    <row r="643" ht="15.75" hidden="1" customHeight="1">
      <c r="E643" s="15"/>
    </row>
    <row r="644" ht="15.75" hidden="1" customHeight="1">
      <c r="E644" s="15"/>
    </row>
    <row r="645" ht="15.75" hidden="1" customHeight="1">
      <c r="E645" s="15"/>
    </row>
    <row r="646" ht="15.75" hidden="1" customHeight="1">
      <c r="E646" s="15"/>
    </row>
    <row r="647" ht="15.75" hidden="1" customHeight="1">
      <c r="E647" s="15"/>
    </row>
    <row r="648" ht="15.75" hidden="1" customHeight="1">
      <c r="E648" s="15"/>
    </row>
    <row r="649" ht="15.75" hidden="1" customHeight="1">
      <c r="E649" s="15"/>
    </row>
    <row r="650" ht="15.75" hidden="1" customHeight="1">
      <c r="E650" s="15"/>
    </row>
    <row r="651" ht="15.75" hidden="1" customHeight="1">
      <c r="E651" s="15"/>
    </row>
    <row r="652" ht="15.75" hidden="1" customHeight="1">
      <c r="E652" s="15"/>
    </row>
    <row r="653" ht="15.75" hidden="1" customHeight="1">
      <c r="E653" s="15"/>
    </row>
    <row r="654" ht="15.75" hidden="1" customHeight="1">
      <c r="E654" s="15"/>
    </row>
    <row r="655" ht="15.75" hidden="1" customHeight="1">
      <c r="E655" s="15"/>
    </row>
    <row r="656" ht="15.75" hidden="1" customHeight="1">
      <c r="E656" s="15"/>
    </row>
    <row r="657" ht="15.75" hidden="1" customHeight="1">
      <c r="E657" s="15"/>
    </row>
    <row r="658" ht="15.75" hidden="1" customHeight="1">
      <c r="E658" s="15"/>
    </row>
    <row r="659" ht="15.75" hidden="1" customHeight="1">
      <c r="E659" s="15"/>
    </row>
    <row r="660" ht="15.75" hidden="1" customHeight="1">
      <c r="E660" s="15"/>
    </row>
    <row r="661" ht="15.75" hidden="1" customHeight="1">
      <c r="E661" s="15"/>
    </row>
    <row r="662" ht="15.75" hidden="1" customHeight="1">
      <c r="E662" s="15"/>
    </row>
    <row r="663" ht="15.75" hidden="1" customHeight="1">
      <c r="E663" s="15"/>
    </row>
    <row r="664" ht="15.75" hidden="1" customHeight="1">
      <c r="E664" s="15"/>
    </row>
    <row r="665" ht="15.75" hidden="1" customHeight="1">
      <c r="E665" s="15"/>
    </row>
    <row r="666" ht="15.75" hidden="1" customHeight="1">
      <c r="E666" s="15"/>
    </row>
    <row r="667" ht="15.75" hidden="1" customHeight="1">
      <c r="E667" s="15"/>
    </row>
    <row r="668" ht="15.75" hidden="1" customHeight="1">
      <c r="E668" s="15"/>
    </row>
    <row r="669" ht="15.75" hidden="1" customHeight="1">
      <c r="E669" s="15"/>
    </row>
    <row r="670" ht="15.75" hidden="1" customHeight="1">
      <c r="E670" s="15"/>
    </row>
    <row r="671" ht="15.75" hidden="1" customHeight="1">
      <c r="E671" s="15"/>
    </row>
    <row r="672" ht="15.75" hidden="1" customHeight="1">
      <c r="E672" s="15"/>
    </row>
    <row r="673" ht="15.75" hidden="1" customHeight="1">
      <c r="E673" s="15"/>
    </row>
    <row r="674" ht="15.75" hidden="1" customHeight="1">
      <c r="E674" s="15"/>
    </row>
    <row r="675" ht="15.75" hidden="1" customHeight="1">
      <c r="E675" s="15"/>
    </row>
    <row r="676" ht="15.75" hidden="1" customHeight="1">
      <c r="E676" s="15"/>
    </row>
    <row r="677" ht="15.75" hidden="1" customHeight="1">
      <c r="E677" s="15"/>
    </row>
    <row r="678" ht="15.75" hidden="1" customHeight="1">
      <c r="E678" s="15"/>
    </row>
    <row r="679" ht="15.75" hidden="1" customHeight="1">
      <c r="E679" s="15"/>
    </row>
    <row r="680" ht="15.75" hidden="1" customHeight="1">
      <c r="E680" s="15"/>
    </row>
    <row r="681" ht="15.75" hidden="1" customHeight="1">
      <c r="E681" s="15"/>
    </row>
    <row r="682" ht="15.75" hidden="1" customHeight="1">
      <c r="E682" s="15"/>
    </row>
    <row r="683" ht="15.75" hidden="1" customHeight="1">
      <c r="E683" s="15"/>
    </row>
    <row r="684" ht="15.75" hidden="1" customHeight="1">
      <c r="E684" s="15"/>
    </row>
    <row r="685" ht="15.75" hidden="1" customHeight="1">
      <c r="E685" s="15"/>
    </row>
    <row r="686" ht="15.75" hidden="1" customHeight="1">
      <c r="E686" s="15"/>
    </row>
    <row r="687" ht="15.75" hidden="1" customHeight="1">
      <c r="E687" s="15"/>
    </row>
    <row r="688" ht="15.75" hidden="1" customHeight="1">
      <c r="E688" s="15"/>
    </row>
    <row r="689" ht="15.75" hidden="1" customHeight="1">
      <c r="E689" s="15"/>
    </row>
    <row r="690" ht="15.75" hidden="1" customHeight="1">
      <c r="E690" s="15"/>
    </row>
    <row r="691" ht="15.75" hidden="1" customHeight="1">
      <c r="E691" s="15"/>
    </row>
    <row r="692" ht="15.75" hidden="1" customHeight="1">
      <c r="E692" s="15"/>
    </row>
    <row r="693" ht="15.75" hidden="1" customHeight="1">
      <c r="E693" s="15"/>
    </row>
    <row r="694" ht="15.75" hidden="1" customHeight="1">
      <c r="E694" s="15"/>
    </row>
    <row r="695" ht="15.75" hidden="1" customHeight="1">
      <c r="E695" s="15"/>
    </row>
    <row r="696" ht="15.75" hidden="1" customHeight="1">
      <c r="E696" s="15"/>
    </row>
    <row r="697" ht="15.75" hidden="1" customHeight="1">
      <c r="E697" s="15"/>
    </row>
    <row r="698" ht="15.75" hidden="1" customHeight="1">
      <c r="E698" s="15"/>
    </row>
    <row r="699" ht="15.75" hidden="1" customHeight="1">
      <c r="E699" s="15"/>
    </row>
    <row r="700" ht="15.75" hidden="1" customHeight="1">
      <c r="E700" s="15"/>
    </row>
    <row r="701" ht="15.75" hidden="1" customHeight="1">
      <c r="E701" s="15"/>
    </row>
    <row r="702" ht="15.75" hidden="1" customHeight="1">
      <c r="E702" s="15"/>
    </row>
    <row r="703" ht="15.75" hidden="1" customHeight="1">
      <c r="E703" s="15"/>
    </row>
    <row r="704" ht="15.75" hidden="1" customHeight="1">
      <c r="E704" s="15"/>
    </row>
    <row r="705" ht="15.75" hidden="1" customHeight="1">
      <c r="E705" s="15"/>
    </row>
    <row r="706" ht="15.75" hidden="1" customHeight="1">
      <c r="E706" s="15"/>
    </row>
    <row r="707" ht="15.75" hidden="1" customHeight="1">
      <c r="E707" s="15"/>
    </row>
    <row r="708" ht="15.75" hidden="1" customHeight="1">
      <c r="E708" s="15"/>
    </row>
    <row r="709" ht="15.75" hidden="1" customHeight="1">
      <c r="E709" s="15"/>
    </row>
    <row r="710" ht="15.75" hidden="1" customHeight="1">
      <c r="E710" s="15"/>
    </row>
    <row r="711" ht="15.75" hidden="1" customHeight="1">
      <c r="E711" s="15"/>
    </row>
    <row r="712" ht="15.75" hidden="1" customHeight="1">
      <c r="E712" s="15"/>
    </row>
    <row r="713" ht="15.75" hidden="1" customHeight="1">
      <c r="E713" s="15"/>
    </row>
    <row r="714" ht="15.75" hidden="1" customHeight="1">
      <c r="E714" s="15"/>
    </row>
    <row r="715" ht="15.75" hidden="1" customHeight="1">
      <c r="E715" s="15"/>
    </row>
    <row r="716" ht="15.75" hidden="1" customHeight="1">
      <c r="E716" s="15"/>
    </row>
    <row r="717" ht="15.75" hidden="1" customHeight="1">
      <c r="E717" s="15"/>
    </row>
    <row r="718" ht="15.75" hidden="1" customHeight="1">
      <c r="E718" s="15"/>
    </row>
    <row r="719" ht="15.75" hidden="1" customHeight="1">
      <c r="E719" s="15"/>
    </row>
    <row r="720" ht="15.75" hidden="1" customHeight="1">
      <c r="E720" s="15"/>
    </row>
    <row r="721" ht="15.75" hidden="1" customHeight="1">
      <c r="E721" s="15"/>
    </row>
    <row r="722" ht="15.75" hidden="1" customHeight="1">
      <c r="E722" s="15"/>
    </row>
    <row r="723" ht="15.75" hidden="1" customHeight="1">
      <c r="E723" s="15"/>
    </row>
    <row r="724" ht="15.75" hidden="1" customHeight="1">
      <c r="E724" s="15"/>
    </row>
    <row r="725" ht="15.75" hidden="1" customHeight="1">
      <c r="E725" s="15"/>
    </row>
    <row r="726" ht="15.75" hidden="1" customHeight="1">
      <c r="E726" s="15"/>
    </row>
    <row r="727" ht="15.75" hidden="1" customHeight="1">
      <c r="E727" s="15"/>
    </row>
    <row r="728" ht="15.75" hidden="1" customHeight="1">
      <c r="E728" s="15"/>
    </row>
    <row r="729" ht="15.75" hidden="1" customHeight="1">
      <c r="E729" s="15"/>
    </row>
    <row r="730" ht="15.75" hidden="1" customHeight="1">
      <c r="E730" s="15"/>
    </row>
    <row r="731" ht="15.75" hidden="1" customHeight="1">
      <c r="E731" s="15"/>
    </row>
    <row r="732" ht="15.75" hidden="1" customHeight="1">
      <c r="E732" s="15"/>
    </row>
    <row r="733" ht="15.75" hidden="1" customHeight="1">
      <c r="E733" s="15"/>
    </row>
    <row r="734" ht="15.75" hidden="1" customHeight="1">
      <c r="E734" s="15"/>
    </row>
    <row r="735" ht="15.75" hidden="1" customHeight="1">
      <c r="E735" s="15"/>
    </row>
    <row r="736" ht="15.75" hidden="1" customHeight="1">
      <c r="E736" s="15"/>
    </row>
    <row r="737" ht="15.75" hidden="1" customHeight="1">
      <c r="E737" s="15"/>
    </row>
    <row r="738" ht="15.75" hidden="1" customHeight="1">
      <c r="E738" s="15"/>
    </row>
    <row r="739" ht="15.75" hidden="1" customHeight="1">
      <c r="E739" s="15"/>
    </row>
    <row r="740" ht="15.75" hidden="1" customHeight="1">
      <c r="E740" s="15"/>
    </row>
    <row r="741" ht="15.75" hidden="1" customHeight="1">
      <c r="E741" s="15"/>
    </row>
    <row r="742" ht="15.75" hidden="1" customHeight="1">
      <c r="E742" s="15"/>
    </row>
    <row r="743" ht="15.75" hidden="1" customHeight="1">
      <c r="E743" s="15"/>
    </row>
    <row r="744" ht="15.75" hidden="1" customHeight="1">
      <c r="E744" s="15"/>
    </row>
    <row r="745" ht="15.75" hidden="1" customHeight="1">
      <c r="E745" s="15"/>
    </row>
    <row r="746" ht="15.75" hidden="1" customHeight="1">
      <c r="E746" s="15"/>
    </row>
    <row r="747" ht="15.75" hidden="1" customHeight="1">
      <c r="E747" s="15"/>
    </row>
    <row r="748" ht="15.75" hidden="1" customHeight="1">
      <c r="E748" s="15"/>
    </row>
    <row r="749" ht="15.75" hidden="1" customHeight="1">
      <c r="E749" s="15"/>
    </row>
    <row r="750" ht="15.75" hidden="1" customHeight="1">
      <c r="E750" s="15"/>
    </row>
    <row r="751" ht="15.75" hidden="1" customHeight="1">
      <c r="E751" s="15"/>
    </row>
    <row r="752" ht="15.75" hidden="1" customHeight="1">
      <c r="E752" s="15"/>
    </row>
    <row r="753" ht="15.75" hidden="1" customHeight="1">
      <c r="E753" s="15"/>
    </row>
    <row r="754" ht="15.75" hidden="1" customHeight="1">
      <c r="E754" s="15"/>
    </row>
    <row r="755" ht="15.75" hidden="1" customHeight="1">
      <c r="E755" s="15"/>
    </row>
    <row r="756" ht="15.75" hidden="1" customHeight="1">
      <c r="E756" s="15"/>
    </row>
    <row r="757" ht="15.75" hidden="1" customHeight="1">
      <c r="E757" s="15"/>
    </row>
    <row r="758" ht="15.75" hidden="1" customHeight="1">
      <c r="E758" s="15"/>
    </row>
    <row r="759" ht="15.75" hidden="1" customHeight="1">
      <c r="E759" s="15"/>
    </row>
    <row r="760" ht="15.75" hidden="1" customHeight="1">
      <c r="E760" s="15"/>
    </row>
    <row r="761" ht="15.75" hidden="1" customHeight="1">
      <c r="E761" s="15"/>
    </row>
    <row r="762" ht="15.75" hidden="1" customHeight="1">
      <c r="E762" s="15"/>
    </row>
    <row r="763" ht="15.75" hidden="1" customHeight="1">
      <c r="E763" s="15"/>
    </row>
    <row r="764" ht="15.75" hidden="1" customHeight="1">
      <c r="E764" s="15"/>
    </row>
    <row r="765" ht="15.75" hidden="1" customHeight="1">
      <c r="E765" s="15"/>
    </row>
    <row r="766" ht="15.75" hidden="1" customHeight="1">
      <c r="E766" s="15"/>
    </row>
    <row r="767" ht="15.75" hidden="1" customHeight="1">
      <c r="E767" s="15"/>
    </row>
    <row r="768" ht="15.75" hidden="1" customHeight="1">
      <c r="E768" s="15"/>
    </row>
    <row r="769" ht="15.75" hidden="1" customHeight="1">
      <c r="E769" s="15"/>
    </row>
    <row r="770" ht="15.75" hidden="1" customHeight="1">
      <c r="E770" s="15"/>
    </row>
    <row r="771" ht="15.75" hidden="1" customHeight="1">
      <c r="E771" s="15"/>
    </row>
    <row r="772" ht="15.75" hidden="1" customHeight="1">
      <c r="E772" s="15"/>
    </row>
    <row r="773" ht="15.75" hidden="1" customHeight="1">
      <c r="E773" s="15"/>
    </row>
    <row r="774" ht="15.75" hidden="1" customHeight="1">
      <c r="E774" s="15"/>
    </row>
    <row r="775" ht="15.75" hidden="1" customHeight="1">
      <c r="E775" s="15"/>
    </row>
    <row r="776" ht="15.75" hidden="1" customHeight="1">
      <c r="E776" s="15"/>
    </row>
    <row r="777" ht="15.75" hidden="1" customHeight="1">
      <c r="E777" s="15"/>
    </row>
    <row r="778" ht="15.75" hidden="1" customHeight="1">
      <c r="E778" s="15"/>
    </row>
    <row r="779" ht="15.75" hidden="1" customHeight="1">
      <c r="E779" s="15"/>
    </row>
    <row r="780" ht="15.75" hidden="1" customHeight="1">
      <c r="E780" s="15"/>
    </row>
    <row r="781" ht="15.75" hidden="1" customHeight="1">
      <c r="E781" s="15"/>
    </row>
    <row r="782" ht="15.75" hidden="1" customHeight="1">
      <c r="E782" s="15"/>
    </row>
    <row r="783" ht="15.75" hidden="1" customHeight="1">
      <c r="E783" s="15"/>
    </row>
    <row r="784" ht="15.75" hidden="1" customHeight="1">
      <c r="E784" s="15"/>
    </row>
    <row r="785" ht="15.75" hidden="1" customHeight="1">
      <c r="E785" s="15"/>
    </row>
    <row r="786" ht="15.75" hidden="1" customHeight="1">
      <c r="E786" s="15"/>
    </row>
    <row r="787" ht="15.75" hidden="1" customHeight="1">
      <c r="E787" s="15"/>
    </row>
    <row r="788" ht="15.75" hidden="1" customHeight="1">
      <c r="E788" s="15"/>
    </row>
    <row r="789" ht="15.75" hidden="1" customHeight="1">
      <c r="E789" s="15"/>
    </row>
    <row r="790" ht="15.75" hidden="1" customHeight="1">
      <c r="E790" s="15"/>
    </row>
    <row r="791" ht="15.75" hidden="1" customHeight="1">
      <c r="E791" s="15"/>
    </row>
    <row r="792" ht="15.75" hidden="1" customHeight="1">
      <c r="E792" s="15"/>
    </row>
    <row r="793" ht="15.75" hidden="1" customHeight="1">
      <c r="E793" s="15"/>
    </row>
    <row r="794" ht="15.75" hidden="1" customHeight="1">
      <c r="E794" s="15"/>
    </row>
    <row r="795" ht="15.75" hidden="1" customHeight="1">
      <c r="E795" s="15"/>
    </row>
    <row r="796" ht="15.75" hidden="1" customHeight="1">
      <c r="E796" s="15"/>
    </row>
    <row r="797" ht="15.75" hidden="1" customHeight="1">
      <c r="E797" s="15"/>
    </row>
    <row r="798" ht="15.75" hidden="1" customHeight="1">
      <c r="E798" s="15"/>
    </row>
    <row r="799" ht="15.75" hidden="1" customHeight="1">
      <c r="E799" s="15"/>
    </row>
    <row r="800" ht="15.75" hidden="1" customHeight="1">
      <c r="E800" s="15"/>
    </row>
    <row r="801" ht="15.75" hidden="1" customHeight="1">
      <c r="E801" s="15"/>
    </row>
    <row r="802" ht="15.75" hidden="1" customHeight="1">
      <c r="E802" s="15"/>
    </row>
    <row r="803" ht="15.75" hidden="1" customHeight="1">
      <c r="E803" s="15"/>
    </row>
    <row r="804" ht="15.75" hidden="1" customHeight="1">
      <c r="E804" s="15"/>
    </row>
    <row r="805" ht="15.75" hidden="1" customHeight="1">
      <c r="E805" s="15"/>
    </row>
    <row r="806" ht="15.75" hidden="1" customHeight="1">
      <c r="E806" s="15"/>
    </row>
    <row r="807" ht="15.75" hidden="1" customHeight="1">
      <c r="E807" s="15"/>
    </row>
    <row r="808" ht="15.75" hidden="1" customHeight="1">
      <c r="E808" s="15"/>
    </row>
    <row r="809" ht="15.75" hidden="1" customHeight="1">
      <c r="E809" s="15"/>
    </row>
    <row r="810" ht="15.75" hidden="1" customHeight="1">
      <c r="E810" s="15"/>
    </row>
    <row r="811" ht="15.75" hidden="1" customHeight="1">
      <c r="E811" s="15"/>
    </row>
    <row r="812" ht="15.75" hidden="1" customHeight="1">
      <c r="E812" s="15"/>
    </row>
    <row r="813" ht="15.75" hidden="1" customHeight="1">
      <c r="E813" s="15"/>
    </row>
    <row r="814" ht="15.75" hidden="1" customHeight="1">
      <c r="E814" s="15"/>
    </row>
    <row r="815" ht="15.75" hidden="1" customHeight="1">
      <c r="E815" s="15"/>
    </row>
    <row r="816" ht="15.75" hidden="1" customHeight="1">
      <c r="E816" s="15"/>
    </row>
    <row r="817" ht="15.75" hidden="1" customHeight="1">
      <c r="E817" s="15"/>
    </row>
    <row r="818" ht="15.75" hidden="1" customHeight="1">
      <c r="E818" s="15"/>
    </row>
    <row r="819" ht="15.75" hidden="1" customHeight="1">
      <c r="E819" s="15"/>
    </row>
    <row r="820" ht="15.75" hidden="1" customHeight="1">
      <c r="E820" s="15"/>
    </row>
    <row r="821" ht="15.75" hidden="1" customHeight="1">
      <c r="E821" s="15"/>
    </row>
    <row r="822" ht="15.75" hidden="1" customHeight="1">
      <c r="E822" s="15"/>
    </row>
    <row r="823" ht="15.75" hidden="1" customHeight="1">
      <c r="E823" s="15"/>
    </row>
    <row r="824" ht="15.75" hidden="1" customHeight="1">
      <c r="E824" s="15"/>
    </row>
    <row r="825" ht="15.75" hidden="1" customHeight="1">
      <c r="E825" s="15"/>
    </row>
    <row r="826" ht="15.75" hidden="1" customHeight="1">
      <c r="E826" s="15"/>
    </row>
    <row r="827" ht="15.75" hidden="1" customHeight="1">
      <c r="E827" s="15"/>
    </row>
    <row r="828" ht="15.75" hidden="1" customHeight="1">
      <c r="E828" s="15"/>
    </row>
    <row r="829" ht="15.75" hidden="1" customHeight="1">
      <c r="E829" s="15"/>
    </row>
    <row r="830" ht="15.75" hidden="1" customHeight="1">
      <c r="E830" s="15"/>
    </row>
    <row r="831" ht="15.75" hidden="1" customHeight="1">
      <c r="E831" s="15"/>
    </row>
    <row r="832" ht="15.75" hidden="1" customHeight="1">
      <c r="E832" s="15"/>
    </row>
    <row r="833" ht="15.75" hidden="1" customHeight="1">
      <c r="E833" s="15"/>
    </row>
    <row r="834" ht="15.75" hidden="1" customHeight="1">
      <c r="E834" s="15"/>
    </row>
    <row r="835" ht="15.75" hidden="1" customHeight="1">
      <c r="E835" s="15"/>
    </row>
    <row r="836" ht="15.75" hidden="1" customHeight="1">
      <c r="E836" s="15"/>
    </row>
    <row r="837" ht="15.75" hidden="1" customHeight="1">
      <c r="E837" s="15"/>
    </row>
    <row r="838" ht="15.75" hidden="1" customHeight="1">
      <c r="E838" s="15"/>
    </row>
    <row r="839" ht="15.75" hidden="1" customHeight="1">
      <c r="E839" s="15"/>
    </row>
    <row r="840" ht="15.75" hidden="1" customHeight="1">
      <c r="E840" s="15"/>
    </row>
    <row r="841" ht="15.75" hidden="1" customHeight="1">
      <c r="E841" s="15"/>
    </row>
    <row r="842" ht="15.75" hidden="1" customHeight="1">
      <c r="E842" s="15"/>
    </row>
    <row r="843" ht="15.75" hidden="1" customHeight="1">
      <c r="E843" s="15"/>
    </row>
    <row r="844" ht="15.75" hidden="1" customHeight="1">
      <c r="E844" s="15"/>
    </row>
    <row r="845" ht="15.75" hidden="1" customHeight="1">
      <c r="E845" s="15"/>
    </row>
    <row r="846" ht="15.75" hidden="1" customHeight="1">
      <c r="E846" s="15"/>
    </row>
    <row r="847" ht="15.75" hidden="1" customHeight="1">
      <c r="E847" s="15"/>
    </row>
    <row r="848" ht="15.75" hidden="1" customHeight="1">
      <c r="E848" s="15"/>
    </row>
    <row r="849" ht="15.75" hidden="1" customHeight="1">
      <c r="E849" s="15"/>
    </row>
    <row r="850" ht="15.75" hidden="1" customHeight="1">
      <c r="E850" s="15"/>
    </row>
    <row r="851" ht="15.75" hidden="1" customHeight="1">
      <c r="E851" s="15"/>
    </row>
    <row r="852" ht="15.75" hidden="1" customHeight="1">
      <c r="E852" s="15"/>
    </row>
    <row r="853" ht="15.75" hidden="1" customHeight="1">
      <c r="E853" s="15"/>
    </row>
    <row r="854" ht="15.75" hidden="1" customHeight="1">
      <c r="E854" s="15"/>
    </row>
    <row r="855" ht="15.75" hidden="1" customHeight="1">
      <c r="E855" s="15"/>
    </row>
    <row r="856" ht="15.75" hidden="1" customHeight="1">
      <c r="E856" s="15"/>
    </row>
    <row r="857" ht="15.75" hidden="1" customHeight="1">
      <c r="E857" s="15"/>
    </row>
    <row r="858" ht="15.75" hidden="1" customHeight="1">
      <c r="E858" s="15"/>
    </row>
    <row r="859" ht="15.75" hidden="1" customHeight="1">
      <c r="E859" s="15"/>
    </row>
    <row r="860" ht="15.75" hidden="1" customHeight="1">
      <c r="E860" s="15"/>
    </row>
    <row r="861" ht="15.75" hidden="1" customHeight="1">
      <c r="E861" s="15"/>
    </row>
    <row r="862" ht="15.75" hidden="1" customHeight="1">
      <c r="E862" s="15"/>
    </row>
    <row r="863" ht="15.75" hidden="1" customHeight="1">
      <c r="E863" s="15"/>
    </row>
    <row r="864" ht="15.75" hidden="1" customHeight="1">
      <c r="E864" s="15"/>
    </row>
    <row r="865" ht="15.75" hidden="1" customHeight="1">
      <c r="E865" s="15"/>
    </row>
    <row r="866" ht="15.75" hidden="1" customHeight="1">
      <c r="E866" s="15"/>
    </row>
    <row r="867" ht="15.75" hidden="1" customHeight="1">
      <c r="E867" s="15"/>
    </row>
    <row r="868" ht="15.75" hidden="1" customHeight="1">
      <c r="E868" s="15"/>
    </row>
    <row r="869" ht="15.75" hidden="1" customHeight="1">
      <c r="E869" s="15"/>
    </row>
    <row r="870" ht="15.75" hidden="1" customHeight="1">
      <c r="E870" s="15"/>
    </row>
    <row r="871" ht="15.75" hidden="1" customHeight="1">
      <c r="E871" s="15"/>
    </row>
    <row r="872" ht="15.75" hidden="1" customHeight="1">
      <c r="E872" s="15"/>
    </row>
    <row r="873" ht="15.75" hidden="1" customHeight="1">
      <c r="E873" s="15"/>
    </row>
    <row r="874" ht="15.75" hidden="1" customHeight="1">
      <c r="E874" s="15"/>
    </row>
    <row r="875" ht="15.75" hidden="1" customHeight="1">
      <c r="E875" s="15"/>
    </row>
    <row r="876" ht="15.75" hidden="1" customHeight="1">
      <c r="E876" s="15"/>
    </row>
    <row r="877" ht="15.75" hidden="1" customHeight="1">
      <c r="E877" s="15"/>
    </row>
    <row r="878" ht="15.75" hidden="1" customHeight="1">
      <c r="E878" s="15"/>
    </row>
    <row r="879" ht="15.75" hidden="1" customHeight="1">
      <c r="E879" s="15"/>
    </row>
    <row r="880" ht="15.75" hidden="1" customHeight="1">
      <c r="E880" s="15"/>
    </row>
    <row r="881" ht="15.75" hidden="1" customHeight="1">
      <c r="E881" s="15"/>
    </row>
    <row r="882" ht="15.75" hidden="1" customHeight="1">
      <c r="E882" s="15"/>
    </row>
    <row r="883" ht="15.75" hidden="1" customHeight="1">
      <c r="E883" s="15"/>
    </row>
    <row r="884" ht="15.75" hidden="1" customHeight="1">
      <c r="E884" s="15"/>
    </row>
    <row r="885" ht="15.75" hidden="1" customHeight="1">
      <c r="E885" s="15"/>
    </row>
    <row r="886" ht="15.75" hidden="1" customHeight="1">
      <c r="E886" s="15"/>
    </row>
    <row r="887" ht="15.75" hidden="1" customHeight="1">
      <c r="E887" s="15"/>
    </row>
    <row r="888" ht="15.75" hidden="1" customHeight="1">
      <c r="E888" s="15"/>
    </row>
    <row r="889" ht="15.75" hidden="1" customHeight="1">
      <c r="E889" s="15"/>
    </row>
    <row r="890" ht="15.75" hidden="1" customHeight="1">
      <c r="E890" s="15"/>
    </row>
    <row r="891" ht="15.75" hidden="1" customHeight="1">
      <c r="E891" s="15"/>
    </row>
    <row r="892" ht="15.75" hidden="1" customHeight="1">
      <c r="E892" s="15"/>
    </row>
    <row r="893" ht="15.75" hidden="1" customHeight="1">
      <c r="E893" s="15"/>
    </row>
    <row r="894" ht="15.75" hidden="1" customHeight="1">
      <c r="E894" s="15"/>
    </row>
    <row r="895" ht="15.75" hidden="1" customHeight="1">
      <c r="E895" s="15"/>
    </row>
    <row r="896" ht="15.75" hidden="1" customHeight="1">
      <c r="E896" s="15"/>
    </row>
    <row r="897" ht="15.75" hidden="1" customHeight="1">
      <c r="E897" s="15"/>
    </row>
    <row r="898" ht="15.75" hidden="1" customHeight="1">
      <c r="E898" s="15"/>
    </row>
    <row r="899" ht="15.75" hidden="1" customHeight="1">
      <c r="E899" s="15"/>
    </row>
    <row r="900" ht="15.75" hidden="1" customHeight="1">
      <c r="E900" s="15"/>
    </row>
    <row r="901" ht="15.75" hidden="1" customHeight="1">
      <c r="E901" s="15"/>
    </row>
    <row r="902" ht="15.75" hidden="1" customHeight="1">
      <c r="E902" s="15"/>
    </row>
    <row r="903" ht="15.75" hidden="1" customHeight="1">
      <c r="E903" s="15"/>
    </row>
    <row r="904" ht="15.75" hidden="1" customHeight="1">
      <c r="E904" s="15"/>
    </row>
    <row r="905" ht="15.75" hidden="1" customHeight="1">
      <c r="E905" s="15"/>
    </row>
    <row r="906" ht="15.75" hidden="1" customHeight="1">
      <c r="E906" s="15"/>
    </row>
    <row r="907" ht="15.75" hidden="1" customHeight="1">
      <c r="E907" s="15"/>
    </row>
    <row r="908" ht="15.75" hidden="1" customHeight="1">
      <c r="E908" s="15"/>
    </row>
    <row r="909" ht="15.75" hidden="1" customHeight="1">
      <c r="E909" s="15"/>
    </row>
    <row r="910" ht="15.75" hidden="1" customHeight="1">
      <c r="E910" s="15"/>
    </row>
    <row r="911" ht="15.75" hidden="1" customHeight="1">
      <c r="E911" s="15"/>
    </row>
    <row r="912" ht="15.75" hidden="1" customHeight="1">
      <c r="E912" s="15"/>
    </row>
    <row r="913" ht="15.75" hidden="1" customHeight="1">
      <c r="E913" s="15"/>
    </row>
    <row r="914" ht="15.75" hidden="1" customHeight="1">
      <c r="E914" s="15"/>
    </row>
    <row r="915" ht="15.75" hidden="1" customHeight="1">
      <c r="E915" s="15"/>
    </row>
    <row r="916" ht="15.75" hidden="1" customHeight="1">
      <c r="E916" s="15"/>
    </row>
    <row r="917" ht="15.75" hidden="1" customHeight="1">
      <c r="E917" s="15"/>
    </row>
    <row r="918" ht="15.75" hidden="1" customHeight="1">
      <c r="E918" s="15"/>
    </row>
    <row r="919" ht="15.75" hidden="1" customHeight="1">
      <c r="E919" s="15"/>
    </row>
    <row r="920" ht="15.75" hidden="1" customHeight="1">
      <c r="E920" s="15"/>
    </row>
    <row r="921" ht="15.75" hidden="1" customHeight="1">
      <c r="E921" s="15"/>
    </row>
    <row r="922" ht="15.75" hidden="1" customHeight="1">
      <c r="E922" s="15"/>
    </row>
    <row r="923" ht="15.75" hidden="1" customHeight="1">
      <c r="E923" s="15"/>
    </row>
    <row r="924" ht="15.75" hidden="1" customHeight="1">
      <c r="E924" s="15"/>
    </row>
    <row r="925" ht="15.75" hidden="1" customHeight="1">
      <c r="E925" s="15"/>
    </row>
    <row r="926" ht="15.75" hidden="1" customHeight="1">
      <c r="E926" s="15"/>
    </row>
    <row r="927" ht="15.75" hidden="1" customHeight="1">
      <c r="E927" s="15"/>
    </row>
    <row r="928" ht="15.75" hidden="1" customHeight="1">
      <c r="E928" s="15"/>
    </row>
    <row r="929" ht="15.75" hidden="1" customHeight="1">
      <c r="E929" s="15"/>
    </row>
    <row r="930" ht="15.75" hidden="1" customHeight="1">
      <c r="E930" s="15"/>
    </row>
    <row r="931" ht="15.75" hidden="1" customHeight="1">
      <c r="E931" s="15"/>
    </row>
    <row r="932" ht="15.75" hidden="1" customHeight="1">
      <c r="E932" s="15"/>
    </row>
    <row r="933" ht="15.75" hidden="1" customHeight="1">
      <c r="E933" s="15"/>
    </row>
    <row r="934" ht="15.75" hidden="1" customHeight="1">
      <c r="E934" s="15"/>
    </row>
    <row r="935" ht="15.75" hidden="1" customHeight="1">
      <c r="E935" s="15"/>
    </row>
    <row r="936" ht="15.75" hidden="1" customHeight="1">
      <c r="E936" s="15"/>
    </row>
    <row r="937" ht="15.75" hidden="1" customHeight="1">
      <c r="E937" s="15"/>
    </row>
    <row r="938" ht="15.75" hidden="1" customHeight="1">
      <c r="E938" s="15"/>
    </row>
    <row r="939" ht="15.75" hidden="1" customHeight="1">
      <c r="E939" s="15"/>
    </row>
    <row r="940" ht="15.75" hidden="1" customHeight="1">
      <c r="E940" s="15"/>
    </row>
    <row r="941" ht="15.75" hidden="1" customHeight="1">
      <c r="E941" s="15"/>
    </row>
    <row r="942" ht="15.75" hidden="1" customHeight="1">
      <c r="E942" s="15"/>
    </row>
    <row r="943" ht="15.75" hidden="1" customHeight="1">
      <c r="E943" s="15"/>
    </row>
    <row r="944" ht="15.75" hidden="1" customHeight="1">
      <c r="E944" s="15"/>
    </row>
    <row r="945" ht="15.75" hidden="1" customHeight="1">
      <c r="E945" s="15"/>
    </row>
    <row r="946" ht="15.75" hidden="1" customHeight="1">
      <c r="E946" s="15"/>
    </row>
    <row r="947" ht="15.75" hidden="1" customHeight="1">
      <c r="E947" s="15"/>
    </row>
    <row r="948" ht="15.75" hidden="1" customHeight="1">
      <c r="E948" s="15"/>
    </row>
    <row r="949" ht="15.75" hidden="1" customHeight="1">
      <c r="E949" s="15"/>
    </row>
    <row r="950" ht="15.75" hidden="1" customHeight="1">
      <c r="E950" s="15"/>
    </row>
    <row r="951" ht="15.75" hidden="1" customHeight="1">
      <c r="E951" s="15"/>
    </row>
    <row r="952" ht="15.75" hidden="1" customHeight="1">
      <c r="E952" s="15"/>
    </row>
    <row r="953" ht="15.75" hidden="1" customHeight="1">
      <c r="E953" s="15"/>
    </row>
    <row r="954" ht="15.75" hidden="1" customHeight="1">
      <c r="E954" s="15"/>
    </row>
    <row r="955" ht="15.75" hidden="1" customHeight="1">
      <c r="E955" s="15"/>
    </row>
    <row r="956" ht="15.75" hidden="1" customHeight="1">
      <c r="E956" s="15"/>
    </row>
    <row r="957" ht="15.75" hidden="1" customHeight="1">
      <c r="E957" s="15"/>
    </row>
    <row r="958" ht="15.75" hidden="1" customHeight="1">
      <c r="E958" s="15"/>
    </row>
    <row r="959" ht="15.75" hidden="1" customHeight="1">
      <c r="E959" s="15"/>
    </row>
    <row r="960" ht="15.75" hidden="1" customHeight="1">
      <c r="E960" s="15"/>
    </row>
    <row r="961" ht="15.75" hidden="1" customHeight="1">
      <c r="E961" s="15"/>
    </row>
    <row r="962" ht="15.75" hidden="1" customHeight="1">
      <c r="E962" s="15"/>
    </row>
    <row r="963" ht="15.75" hidden="1" customHeight="1">
      <c r="E963" s="15"/>
    </row>
    <row r="964" ht="15.75" hidden="1" customHeight="1">
      <c r="E964" s="15"/>
    </row>
    <row r="965" ht="15.75" hidden="1" customHeight="1">
      <c r="E965" s="15"/>
    </row>
    <row r="966" ht="15.75" hidden="1" customHeight="1">
      <c r="E966" s="15"/>
    </row>
    <row r="967" ht="15.75" hidden="1" customHeight="1">
      <c r="E967" s="15"/>
    </row>
    <row r="968" ht="15.75" hidden="1" customHeight="1">
      <c r="E968" s="15"/>
    </row>
    <row r="969" ht="15.75" hidden="1" customHeight="1">
      <c r="E969" s="15"/>
    </row>
    <row r="970" ht="15.75" hidden="1" customHeight="1">
      <c r="E970" s="15"/>
    </row>
    <row r="971" ht="15.75" hidden="1" customHeight="1">
      <c r="E971" s="15"/>
    </row>
    <row r="972" ht="15.75" hidden="1" customHeight="1">
      <c r="E972" s="15"/>
    </row>
    <row r="973" ht="15.75" hidden="1" customHeight="1">
      <c r="E973" s="15"/>
    </row>
    <row r="974" ht="15.75" hidden="1" customHeight="1">
      <c r="E974" s="15"/>
    </row>
    <row r="975" ht="15.75" hidden="1" customHeight="1">
      <c r="E975" s="15"/>
    </row>
    <row r="976" ht="15.75" hidden="1" customHeight="1">
      <c r="E976" s="15"/>
    </row>
    <row r="977" ht="15.75" hidden="1" customHeight="1">
      <c r="E977" s="15"/>
    </row>
    <row r="978" ht="15.75" hidden="1" customHeight="1">
      <c r="E978" s="15"/>
    </row>
    <row r="979" ht="15.75" hidden="1" customHeight="1">
      <c r="E979" s="15"/>
    </row>
    <row r="980" ht="15.75" hidden="1" customHeight="1">
      <c r="E980" s="15"/>
    </row>
    <row r="981" ht="15.75" hidden="1" customHeight="1">
      <c r="E981" s="15"/>
    </row>
    <row r="982" ht="15.75" hidden="1" customHeight="1">
      <c r="E982" s="15"/>
    </row>
    <row r="983" ht="15.75" hidden="1" customHeight="1">
      <c r="E983" s="15"/>
    </row>
    <row r="984" ht="15.75" hidden="1" customHeight="1">
      <c r="E984" s="15"/>
    </row>
    <row r="985" ht="15.75" hidden="1" customHeight="1">
      <c r="E985" s="15"/>
    </row>
    <row r="986" ht="15.75" hidden="1" customHeight="1">
      <c r="E986" s="15"/>
    </row>
    <row r="987" ht="15.75" hidden="1" customHeight="1">
      <c r="E987" s="15"/>
    </row>
    <row r="988" ht="15.75" hidden="1" customHeight="1">
      <c r="E988" s="15"/>
    </row>
    <row r="989" ht="15.75" hidden="1" customHeight="1">
      <c r="E989" s="15"/>
    </row>
    <row r="990" ht="15.75" hidden="1" customHeight="1">
      <c r="E990" s="15"/>
    </row>
    <row r="991" ht="15.75" hidden="1" customHeight="1">
      <c r="E991" s="15"/>
    </row>
    <row r="992" ht="15.75" hidden="1" customHeight="1">
      <c r="E992" s="15"/>
    </row>
    <row r="993" ht="15.75" hidden="1" customHeight="1">
      <c r="E993" s="15"/>
    </row>
    <row r="994" ht="15.75" hidden="1" customHeight="1">
      <c r="E994" s="15"/>
    </row>
    <row r="995" ht="15.75" hidden="1" customHeight="1">
      <c r="E995" s="15"/>
    </row>
    <row r="996" ht="15.75" hidden="1" customHeight="1">
      <c r="E996" s="15"/>
    </row>
    <row r="997" ht="15.75" hidden="1" customHeight="1">
      <c r="E997" s="15"/>
    </row>
    <row r="998" ht="15.75" hidden="1" customHeight="1">
      <c r="E998" s="15"/>
    </row>
    <row r="999" ht="15.75" hidden="1" customHeight="1">
      <c r="E999" s="15"/>
    </row>
    <row r="1000" ht="15.75" hidden="1" customHeight="1">
      <c r="E1000" s="15"/>
    </row>
    <row r="1001" ht="15.75" customHeight="1">
      <c r="E1001" s="15"/>
    </row>
    <row r="1002" ht="15.75" customHeight="1">
      <c r="E1002" s="15"/>
    </row>
    <row r="1003" ht="15.75" customHeight="1">
      <c r="E1003" s="15"/>
    </row>
    <row r="1004" ht="15.75" customHeight="1">
      <c r="E1004" s="15"/>
    </row>
    <row r="1005" ht="15.75" customHeight="1">
      <c r="E1005" s="15"/>
    </row>
    <row r="1006" ht="15.75" customHeight="1">
      <c r="E1006" s="15"/>
    </row>
    <row r="1007" ht="15.75" customHeight="1">
      <c r="E1007" s="15"/>
    </row>
    <row r="1008" ht="15.75" customHeight="1">
      <c r="E1008" s="15"/>
    </row>
    <row r="1009" ht="15.75" customHeight="1">
      <c r="E1009" s="15"/>
    </row>
    <row r="1010" ht="15.75" customHeight="1">
      <c r="E1010" s="15"/>
    </row>
    <row r="1011" ht="15.75" customHeight="1">
      <c r="E1011" s="15"/>
    </row>
    <row r="1012" ht="15.75" customHeight="1">
      <c r="E1012" s="15"/>
    </row>
    <row r="1013" ht="15.75" customHeight="1">
      <c r="E1013" s="15"/>
    </row>
    <row r="1014" ht="15.75" customHeight="1">
      <c r="E1014" s="15"/>
    </row>
    <row r="1015" ht="15.75" customHeight="1">
      <c r="E1015" s="15"/>
    </row>
    <row r="1016" ht="15.75" customHeight="1">
      <c r="E1016" s="15"/>
    </row>
    <row r="1017" ht="15.75" customHeight="1">
      <c r="E1017" s="15"/>
    </row>
    <row r="1018" ht="15.75" customHeight="1">
      <c r="E1018" s="15"/>
    </row>
    <row r="1019" ht="15.75" customHeight="1">
      <c r="E1019" s="15"/>
    </row>
    <row r="1020" ht="15.75" customHeight="1">
      <c r="E1020" s="15"/>
    </row>
    <row r="1021" ht="15.75" customHeight="1">
      <c r="E1021" s="15"/>
    </row>
    <row r="1022" ht="15.75" customHeight="1">
      <c r="E1022" s="15"/>
    </row>
    <row r="1023" ht="15.75" customHeight="1">
      <c r="E1023" s="15"/>
    </row>
    <row r="1024" ht="15.75" customHeight="1">
      <c r="E1024" s="15"/>
    </row>
    <row r="1025" ht="15.75" customHeight="1">
      <c r="E1025" s="15"/>
    </row>
    <row r="1026" ht="15.75" customHeight="1">
      <c r="E1026" s="15"/>
    </row>
    <row r="1027" ht="15.75" customHeight="1">
      <c r="E1027" s="15"/>
    </row>
    <row r="1028" ht="15.75" customHeight="1">
      <c r="E1028" s="15"/>
    </row>
    <row r="1029" ht="15.75" customHeight="1">
      <c r="E1029" s="15"/>
    </row>
    <row r="1030" ht="15.75" customHeight="1">
      <c r="E1030" s="15"/>
    </row>
    <row r="1031" ht="15.75" customHeight="1">
      <c r="E1031" s="15"/>
    </row>
    <row r="1032" ht="15.75" customHeight="1">
      <c r="E1032" s="15"/>
    </row>
    <row r="1033" ht="15.75" customHeight="1">
      <c r="E1033" s="15"/>
    </row>
    <row r="1034" ht="15.75" customHeight="1">
      <c r="E1034" s="15"/>
    </row>
    <row r="1035" ht="15.75" customHeight="1">
      <c r="E1035" s="15"/>
    </row>
    <row r="1036" ht="15.75" customHeight="1">
      <c r="E1036" s="15"/>
    </row>
    <row r="1037" ht="15.75" customHeight="1">
      <c r="E1037" s="15"/>
    </row>
    <row r="1038" ht="15.75" customHeight="1">
      <c r="E1038" s="15"/>
    </row>
    <row r="1039" ht="15.75" customHeight="1">
      <c r="E1039" s="15"/>
    </row>
    <row r="1040" ht="15.75" customHeight="1">
      <c r="E1040" s="15"/>
    </row>
    <row r="1041" ht="15.75" customHeight="1">
      <c r="E1041" s="15"/>
    </row>
    <row r="1042" ht="15.75" customHeight="1">
      <c r="E1042" s="15"/>
    </row>
    <row r="1043" ht="15.75" customHeight="1">
      <c r="E1043" s="15"/>
    </row>
    <row r="1044" ht="15.75" customHeight="1">
      <c r="E1044" s="15"/>
    </row>
    <row r="1045" ht="15.75" customHeight="1">
      <c r="E1045" s="15"/>
    </row>
    <row r="1046" ht="15.75" customHeight="1">
      <c r="E1046" s="15"/>
    </row>
    <row r="1047" ht="15.75" customHeight="1">
      <c r="E1047" s="15"/>
    </row>
    <row r="1048" ht="15.75" customHeight="1">
      <c r="E1048" s="15"/>
    </row>
    <row r="1049" ht="15.75" customHeight="1">
      <c r="E1049" s="15"/>
    </row>
    <row r="1050" ht="15.75" customHeight="1">
      <c r="E1050" s="15"/>
    </row>
    <row r="1051" ht="15.75" customHeight="1">
      <c r="E1051" s="15"/>
    </row>
    <row r="1052" ht="15.75" customHeight="1">
      <c r="E1052" s="15"/>
    </row>
    <row r="1053" ht="15.75" customHeight="1">
      <c r="E1053" s="15"/>
    </row>
    <row r="1054" ht="15.75" customHeight="1">
      <c r="E1054" s="15"/>
    </row>
    <row r="1055" ht="15.75" customHeight="1">
      <c r="E1055" s="15"/>
    </row>
    <row r="1056" ht="15.75" customHeight="1">
      <c r="E1056" s="15"/>
    </row>
    <row r="1057" ht="15.75" customHeight="1">
      <c r="E1057" s="15"/>
    </row>
    <row r="1058" ht="15.75" customHeight="1">
      <c r="E1058" s="15"/>
    </row>
    <row r="1059" ht="15.75" customHeight="1">
      <c r="E1059" s="15"/>
    </row>
    <row r="1060" ht="15.75" customHeight="1">
      <c r="E1060" s="15"/>
    </row>
    <row r="1061" ht="15.75" customHeight="1">
      <c r="E1061" s="15"/>
    </row>
    <row r="1062" ht="15.75" customHeight="1">
      <c r="E1062" s="15"/>
    </row>
    <row r="1063" ht="15.75" customHeight="1">
      <c r="E1063" s="15"/>
    </row>
    <row r="1064" ht="15.75" customHeight="1">
      <c r="E1064" s="15"/>
    </row>
    <row r="1065" ht="15.75" customHeight="1">
      <c r="E1065" s="15"/>
    </row>
    <row r="1066" ht="15.75" customHeight="1">
      <c r="E1066" s="15"/>
    </row>
    <row r="1067" ht="15.75" customHeight="1">
      <c r="E1067" s="15"/>
    </row>
    <row r="1068" ht="15.75" customHeight="1">
      <c r="E1068" s="15"/>
    </row>
    <row r="1069" ht="15.75" customHeight="1">
      <c r="E1069" s="15"/>
    </row>
    <row r="1070" ht="15.75" customHeight="1">
      <c r="E1070" s="15"/>
    </row>
    <row r="1071" ht="15.75" customHeight="1">
      <c r="E1071" s="15"/>
    </row>
    <row r="1072" ht="15.75" customHeight="1">
      <c r="E1072" s="15"/>
    </row>
    <row r="1073" ht="15.75" customHeight="1">
      <c r="E1073" s="15"/>
    </row>
    <row r="1074" ht="15.75" customHeight="1">
      <c r="E1074" s="15"/>
    </row>
    <row r="1075" ht="15.75" customHeight="1">
      <c r="E1075" s="15"/>
    </row>
    <row r="1076" ht="15.75" customHeight="1">
      <c r="E1076" s="15"/>
    </row>
    <row r="1077" ht="15.75" customHeight="1">
      <c r="E1077" s="15"/>
    </row>
    <row r="1078" ht="15.75" customHeight="1">
      <c r="E1078" s="15"/>
    </row>
    <row r="1079" ht="15.75" customHeight="1">
      <c r="E1079" s="15"/>
    </row>
    <row r="1080" ht="15.75" customHeight="1">
      <c r="E1080" s="15"/>
    </row>
    <row r="1081" ht="15.75" customHeight="1">
      <c r="E1081" s="15"/>
    </row>
    <row r="1082" ht="15.75" customHeight="1">
      <c r="E1082" s="15"/>
    </row>
    <row r="1083" ht="15.75" customHeight="1">
      <c r="E1083" s="15"/>
    </row>
    <row r="1084" ht="15.75" customHeight="1">
      <c r="E1084" s="15"/>
    </row>
    <row r="1085" ht="15.75" customHeight="1">
      <c r="E1085" s="15"/>
    </row>
    <row r="1086" ht="15.75" customHeight="1">
      <c r="E1086" s="15"/>
    </row>
    <row r="1087" ht="15.75" customHeight="1">
      <c r="E1087" s="15"/>
    </row>
    <row r="1088" ht="15.75" customHeight="1">
      <c r="E1088" s="15"/>
    </row>
    <row r="1089" ht="15.75" customHeight="1">
      <c r="E1089" s="15"/>
    </row>
    <row r="1090" ht="15.75" customHeight="1">
      <c r="E1090" s="15"/>
    </row>
    <row r="1091" ht="15.75" customHeight="1">
      <c r="E1091" s="15"/>
    </row>
    <row r="1092" ht="15.75" customHeight="1">
      <c r="E1092" s="15"/>
    </row>
    <row r="1093" ht="15.75" customHeight="1">
      <c r="E1093" s="15"/>
    </row>
    <row r="1094" ht="15.75" customHeight="1">
      <c r="E1094" s="15"/>
    </row>
    <row r="1095" ht="15.75" customHeight="1">
      <c r="E1095" s="15"/>
    </row>
    <row r="1096" ht="15.75" customHeight="1">
      <c r="E1096" s="15"/>
    </row>
    <row r="1097" ht="15.75" customHeight="1">
      <c r="E1097" s="15"/>
    </row>
    <row r="1098" ht="15.75" customHeight="1">
      <c r="E1098" s="15"/>
    </row>
    <row r="1099" ht="15.75" customHeight="1">
      <c r="E1099" s="15"/>
    </row>
    <row r="1100" ht="15.75" customHeight="1">
      <c r="E1100" s="15"/>
    </row>
    <row r="1101" ht="15.75" customHeight="1">
      <c r="E1101" s="15"/>
    </row>
    <row r="1102" ht="15.75" customHeight="1">
      <c r="E1102" s="15"/>
    </row>
    <row r="1103" ht="15.75" customHeight="1">
      <c r="E1103" s="15"/>
    </row>
    <row r="1104" ht="15.75" customHeight="1">
      <c r="E1104" s="15"/>
    </row>
    <row r="1105" ht="15.75" customHeight="1">
      <c r="E1105" s="15"/>
    </row>
    <row r="1106" ht="15.75" customHeight="1">
      <c r="E1106" s="15"/>
    </row>
    <row r="1107" ht="15.75" customHeight="1">
      <c r="E1107" s="15"/>
    </row>
    <row r="1108" ht="15.75" customHeight="1">
      <c r="E1108" s="15"/>
    </row>
    <row r="1109" ht="15.75" customHeight="1">
      <c r="E1109" s="15"/>
    </row>
    <row r="1110" ht="15.75" customHeight="1">
      <c r="E1110" s="15"/>
    </row>
    <row r="1111" ht="15.75" customHeight="1">
      <c r="E1111" s="15"/>
    </row>
    <row r="1112" ht="15.75" customHeight="1">
      <c r="E1112" s="15"/>
    </row>
    <row r="1113" ht="15.75" customHeight="1">
      <c r="E1113" s="15"/>
    </row>
    <row r="1114" ht="15.75" customHeight="1">
      <c r="E1114" s="15"/>
    </row>
    <row r="1115" ht="15.75" customHeight="1">
      <c r="E1115" s="15"/>
    </row>
    <row r="1116" ht="15.75" customHeight="1">
      <c r="E1116" s="15"/>
    </row>
    <row r="1117" ht="15.75" customHeight="1">
      <c r="E1117" s="15"/>
    </row>
    <row r="1118" ht="15.75" customHeight="1">
      <c r="E1118" s="15"/>
    </row>
    <row r="1119" ht="15.75" customHeight="1">
      <c r="E1119" s="15"/>
    </row>
    <row r="1120" ht="15.75" customHeight="1">
      <c r="E1120" s="15"/>
    </row>
    <row r="1121" ht="15.75" customHeight="1">
      <c r="E1121" s="15"/>
    </row>
    <row r="1122" ht="15.75" customHeight="1">
      <c r="E1122" s="15"/>
    </row>
    <row r="1123" ht="15.75" customHeight="1">
      <c r="E1123" s="15"/>
    </row>
    <row r="1124" ht="15.75" customHeight="1">
      <c r="E1124" s="15"/>
    </row>
    <row r="1125" ht="15.75" customHeight="1">
      <c r="E1125" s="15"/>
    </row>
    <row r="1126" ht="15.75" customHeight="1">
      <c r="E1126" s="15"/>
    </row>
    <row r="1127" ht="15.75" customHeight="1">
      <c r="E1127" s="15"/>
    </row>
    <row r="1128" ht="15.75" customHeight="1">
      <c r="E1128" s="15"/>
    </row>
    <row r="1129" ht="15.75" customHeight="1">
      <c r="E1129" s="15"/>
    </row>
    <row r="1130" ht="15.75" customHeight="1">
      <c r="E1130" s="15"/>
    </row>
    <row r="1131" ht="15.75" customHeight="1">
      <c r="E1131" s="15"/>
    </row>
    <row r="1132" ht="15.75" customHeight="1">
      <c r="E1132" s="15"/>
    </row>
    <row r="1133" ht="15.75" customHeight="1">
      <c r="E1133" s="15"/>
    </row>
    <row r="1134" ht="15.75" customHeight="1">
      <c r="E1134" s="15"/>
    </row>
    <row r="1135" ht="15.75" customHeight="1">
      <c r="E1135" s="15"/>
    </row>
    <row r="1136" ht="15.75" customHeight="1">
      <c r="E1136" s="15"/>
    </row>
    <row r="1137" ht="15.75" customHeight="1">
      <c r="E1137" s="15"/>
    </row>
    <row r="1138" ht="15.75" customHeight="1">
      <c r="E1138" s="15"/>
    </row>
    <row r="1139" ht="15.75" customHeight="1">
      <c r="E1139" s="15"/>
    </row>
    <row r="1140" ht="15.75" customHeight="1">
      <c r="E1140" s="15"/>
    </row>
    <row r="1141" ht="15.75" customHeight="1">
      <c r="E1141" s="15"/>
    </row>
    <row r="1142" ht="15.75" customHeight="1">
      <c r="E1142" s="15"/>
    </row>
    <row r="1143" ht="15.75" customHeight="1">
      <c r="E1143" s="15"/>
    </row>
    <row r="1144" ht="15.75" customHeight="1">
      <c r="E1144" s="15"/>
    </row>
    <row r="1145" ht="15.75" customHeight="1">
      <c r="E1145" s="15"/>
    </row>
    <row r="1146" ht="15.75" customHeight="1">
      <c r="E1146" s="15"/>
    </row>
    <row r="1147" ht="15.75" customHeight="1">
      <c r="E1147" s="15"/>
    </row>
    <row r="1148" ht="15.75" customHeight="1">
      <c r="E1148" s="15"/>
    </row>
    <row r="1149" ht="15.75" customHeight="1">
      <c r="E1149" s="15"/>
    </row>
    <row r="1150" ht="15.75" customHeight="1">
      <c r="E1150" s="15"/>
    </row>
    <row r="1151" ht="15.75" customHeight="1">
      <c r="E1151" s="15"/>
    </row>
    <row r="1152" ht="15.75" customHeight="1">
      <c r="E1152" s="15"/>
    </row>
    <row r="1153" ht="15.75" customHeight="1">
      <c r="E1153" s="15"/>
    </row>
    <row r="1154" ht="15.75" customHeight="1">
      <c r="E1154" s="15"/>
    </row>
    <row r="1155" ht="15.75" customHeight="1">
      <c r="E1155" s="15"/>
    </row>
    <row r="1156" ht="15.75" customHeight="1">
      <c r="E1156" s="15"/>
    </row>
    <row r="1157" ht="15.75" customHeight="1">
      <c r="E1157" s="15"/>
    </row>
    <row r="1158" ht="15.75" customHeight="1">
      <c r="E1158" s="15"/>
    </row>
    <row r="1159" ht="15.75" customHeight="1">
      <c r="E1159" s="15"/>
    </row>
    <row r="1160" ht="15.75" customHeight="1">
      <c r="E1160" s="15"/>
    </row>
    <row r="1161" ht="15.75" customHeight="1">
      <c r="E1161" s="15"/>
    </row>
    <row r="1162" ht="15.75" customHeight="1">
      <c r="E1162" s="15"/>
    </row>
    <row r="1163" ht="15.75" customHeight="1">
      <c r="E1163" s="15"/>
    </row>
    <row r="1164" ht="15.75" customHeight="1">
      <c r="E1164" s="15"/>
    </row>
    <row r="1165" ht="15.75" customHeight="1">
      <c r="E1165" s="15"/>
    </row>
    <row r="1166" ht="15.75" customHeight="1">
      <c r="E1166" s="15"/>
    </row>
    <row r="1167" ht="15.75" customHeight="1">
      <c r="E1167" s="15"/>
    </row>
    <row r="1168" ht="15.75" customHeight="1">
      <c r="E1168" s="15"/>
    </row>
    <row r="1169" ht="15.75" customHeight="1">
      <c r="E1169" s="15"/>
    </row>
    <row r="1170" ht="15.75" customHeight="1">
      <c r="E1170" s="15"/>
    </row>
    <row r="1171" ht="15.75" customHeight="1">
      <c r="E1171" s="15"/>
    </row>
    <row r="1172" ht="15.75" customHeight="1">
      <c r="E1172" s="15"/>
    </row>
    <row r="1173" ht="15.75" customHeight="1">
      <c r="E1173" s="15"/>
    </row>
    <row r="1174" ht="15.75" customHeight="1">
      <c r="E1174" s="15"/>
    </row>
    <row r="1175" ht="15.75" customHeight="1">
      <c r="E1175" s="15"/>
    </row>
    <row r="1176" ht="15.75" customHeight="1">
      <c r="E1176" s="15"/>
    </row>
    <row r="1177" ht="15.75" customHeight="1">
      <c r="E1177" s="15"/>
    </row>
    <row r="1178" ht="15.75" customHeight="1">
      <c r="E1178" s="15"/>
    </row>
    <row r="1179" ht="15.75" customHeight="1">
      <c r="E1179" s="15"/>
    </row>
    <row r="1180" ht="15.75" customHeight="1">
      <c r="E1180" s="15"/>
    </row>
    <row r="1181" ht="15.75" customHeight="1">
      <c r="E1181" s="15"/>
    </row>
    <row r="1182" ht="15.75" customHeight="1">
      <c r="E1182" s="15"/>
    </row>
    <row r="1183" ht="15.75" customHeight="1">
      <c r="E1183" s="15"/>
    </row>
    <row r="1184" ht="15.75" customHeight="1">
      <c r="E1184" s="15"/>
    </row>
    <row r="1185" ht="15.75" customHeight="1">
      <c r="E1185" s="15"/>
    </row>
    <row r="1186" ht="15.75" customHeight="1">
      <c r="E1186" s="15"/>
    </row>
    <row r="1187" ht="15.75" customHeight="1">
      <c r="E1187" s="15"/>
    </row>
    <row r="1188" ht="15.75" customHeight="1">
      <c r="E1188" s="15"/>
    </row>
    <row r="1189" ht="15.75" customHeight="1">
      <c r="E1189" s="15"/>
    </row>
    <row r="1190" ht="15.75" customHeight="1">
      <c r="E1190" s="15"/>
    </row>
    <row r="1191" ht="15.75" customHeight="1">
      <c r="E1191" s="15"/>
    </row>
    <row r="1192" ht="15.75" customHeight="1">
      <c r="E1192" s="15"/>
    </row>
    <row r="1193" ht="15.75" customHeight="1">
      <c r="E1193" s="15"/>
    </row>
    <row r="1194" ht="15.75" customHeight="1">
      <c r="E1194" s="15"/>
    </row>
    <row r="1195" ht="15.75" customHeight="1">
      <c r="E1195" s="15"/>
    </row>
    <row r="1196" ht="15.75" customHeight="1">
      <c r="E1196" s="15"/>
    </row>
    <row r="1197" ht="15.75" customHeight="1">
      <c r="E1197" s="15"/>
    </row>
    <row r="1198" ht="15.75" customHeight="1">
      <c r="E1198" s="15"/>
    </row>
    <row r="1199" ht="15.75" customHeight="1">
      <c r="E1199" s="15"/>
    </row>
    <row r="1200" ht="15.75" customHeight="1">
      <c r="E1200" s="15"/>
    </row>
    <row r="1201" ht="15.75" customHeight="1">
      <c r="E1201" s="15"/>
    </row>
    <row r="1202" ht="15.75" customHeight="1">
      <c r="E1202" s="15"/>
    </row>
    <row r="1203" ht="15.75" customHeight="1">
      <c r="E1203" s="15"/>
    </row>
    <row r="1204" ht="15.75" customHeight="1">
      <c r="E1204" s="15"/>
    </row>
    <row r="1205" ht="15.75" customHeight="1">
      <c r="E1205" s="15"/>
    </row>
    <row r="1206" ht="15.75" customHeight="1">
      <c r="E1206" s="15"/>
    </row>
    <row r="1207" ht="15.75" customHeight="1">
      <c r="E1207" s="15"/>
    </row>
    <row r="1208" ht="15.75" customHeight="1">
      <c r="E1208" s="15"/>
    </row>
    <row r="1209" ht="15.75" customHeight="1">
      <c r="E1209" s="15"/>
    </row>
    <row r="1210" ht="15.75" customHeight="1">
      <c r="E1210" s="15"/>
    </row>
    <row r="1211" ht="15.75" customHeight="1">
      <c r="E1211" s="15"/>
    </row>
    <row r="1212" ht="15.75" customHeight="1">
      <c r="E1212" s="15"/>
    </row>
    <row r="1213" ht="15.75" customHeight="1">
      <c r="E1213" s="15"/>
    </row>
    <row r="1214" ht="15.75" customHeight="1">
      <c r="E1214" s="15"/>
    </row>
    <row r="1215" ht="15.75" customHeight="1">
      <c r="E1215" s="15"/>
    </row>
    <row r="1216" ht="15.75" customHeight="1">
      <c r="E1216" s="15"/>
    </row>
    <row r="1217" ht="15.75" customHeight="1">
      <c r="E1217" s="15"/>
    </row>
    <row r="1218" ht="15.75" customHeight="1">
      <c r="E1218" s="15"/>
    </row>
    <row r="1219" ht="15.75" customHeight="1">
      <c r="E1219" s="15"/>
    </row>
    <row r="1220" ht="15.75" customHeight="1">
      <c r="E1220" s="15"/>
    </row>
    <row r="1221" ht="15.75" customHeight="1">
      <c r="E1221" s="15"/>
    </row>
    <row r="1222" ht="15.75" customHeight="1">
      <c r="E1222" s="15"/>
    </row>
    <row r="1223" ht="15.75" customHeight="1">
      <c r="E1223" s="15"/>
    </row>
    <row r="1224" ht="15.75" customHeight="1">
      <c r="E1224" s="15"/>
    </row>
    <row r="1225" ht="15.75" customHeight="1">
      <c r="E1225" s="15"/>
    </row>
    <row r="1226" ht="15.75" customHeight="1">
      <c r="E1226" s="15"/>
    </row>
    <row r="1227" ht="15.75" customHeight="1">
      <c r="E1227" s="15"/>
    </row>
    <row r="1228" ht="15.75" customHeight="1">
      <c r="E1228" s="15"/>
    </row>
    <row r="1229" ht="15.75" customHeight="1">
      <c r="E1229" s="15"/>
    </row>
    <row r="1230" ht="15.75" customHeight="1">
      <c r="E1230" s="15"/>
    </row>
    <row r="1231" ht="15.75" customHeight="1">
      <c r="E1231" s="15"/>
    </row>
    <row r="1232" ht="15.75" customHeight="1">
      <c r="E1232" s="15"/>
    </row>
    <row r="1233" ht="15.75" customHeight="1">
      <c r="E1233" s="15"/>
    </row>
    <row r="1234" ht="15.75" customHeight="1">
      <c r="E1234" s="15"/>
    </row>
    <row r="1235" ht="15.75" customHeight="1">
      <c r="E1235" s="15"/>
    </row>
    <row r="1236" ht="15.75" customHeight="1">
      <c r="E1236" s="15"/>
    </row>
    <row r="1237" ht="15.75" customHeight="1">
      <c r="E1237" s="15"/>
    </row>
    <row r="1238" ht="15.75" customHeight="1">
      <c r="E1238" s="15"/>
    </row>
    <row r="1239" ht="15.75" customHeight="1">
      <c r="E1239" s="15"/>
    </row>
    <row r="1240" ht="15.75" customHeight="1">
      <c r="E1240" s="15"/>
    </row>
    <row r="1241" ht="15.75" customHeight="1">
      <c r="E1241" s="15"/>
    </row>
    <row r="1242" ht="15.75" customHeight="1">
      <c r="E1242" s="15"/>
    </row>
    <row r="1243" ht="15.75" customHeight="1">
      <c r="E1243" s="15"/>
    </row>
    <row r="1244" ht="15.75" customHeight="1">
      <c r="E1244" s="15"/>
    </row>
    <row r="1245" ht="15.75" customHeight="1">
      <c r="E1245" s="15"/>
    </row>
    <row r="1246" ht="15.75" customHeight="1">
      <c r="E1246" s="15"/>
    </row>
    <row r="1247" ht="15.75" customHeight="1">
      <c r="E1247" s="15"/>
    </row>
    <row r="1248" ht="15.75" customHeight="1">
      <c r="E1248" s="15"/>
    </row>
    <row r="1249" ht="15.75" customHeight="1">
      <c r="E1249" s="15"/>
    </row>
    <row r="1250" ht="15.75" customHeight="1">
      <c r="E1250" s="15"/>
    </row>
    <row r="1251" ht="15.75" customHeight="1">
      <c r="E1251" s="15"/>
    </row>
    <row r="1252" ht="15.75" customHeight="1">
      <c r="E1252" s="15"/>
    </row>
    <row r="1253" ht="15.75" customHeight="1">
      <c r="E1253" s="15"/>
    </row>
    <row r="1254" ht="15.75" customHeight="1">
      <c r="E1254" s="15"/>
    </row>
    <row r="1255" ht="15.75" customHeight="1">
      <c r="E1255" s="15"/>
    </row>
    <row r="1256" ht="15.75" customHeight="1">
      <c r="E1256" s="15"/>
    </row>
    <row r="1257" ht="15.75" customHeight="1">
      <c r="E1257" s="15"/>
    </row>
    <row r="1258" ht="15.75" customHeight="1">
      <c r="E1258" s="15"/>
    </row>
    <row r="1259" ht="15.75" customHeight="1">
      <c r="E1259" s="15"/>
    </row>
    <row r="1260" ht="15.75" customHeight="1">
      <c r="E1260" s="15"/>
    </row>
    <row r="1261" ht="15.75" customHeight="1">
      <c r="E1261" s="15"/>
    </row>
    <row r="1262" ht="15.75" customHeight="1">
      <c r="E1262" s="15"/>
    </row>
    <row r="1263" ht="15.75" customHeight="1">
      <c r="E1263" s="15"/>
    </row>
    <row r="1264" ht="15.75" customHeight="1">
      <c r="E1264" s="15"/>
    </row>
    <row r="1265" ht="15.75" customHeight="1">
      <c r="E1265" s="15"/>
    </row>
    <row r="1266" ht="15.75" customHeight="1">
      <c r="E1266" s="15"/>
    </row>
    <row r="1267" ht="15.75" customHeight="1">
      <c r="E1267" s="15"/>
    </row>
    <row r="1268" ht="15.75" customHeight="1">
      <c r="E1268" s="15"/>
    </row>
    <row r="1269" ht="15.75" customHeight="1">
      <c r="E1269" s="15"/>
    </row>
    <row r="1270" ht="15.75" customHeight="1">
      <c r="E1270" s="15"/>
    </row>
    <row r="1271" ht="15.75" customHeight="1">
      <c r="E1271" s="15"/>
    </row>
    <row r="1272" ht="15.75" customHeight="1">
      <c r="E1272" s="15"/>
    </row>
    <row r="1273" ht="15.75" customHeight="1">
      <c r="E1273" s="15"/>
    </row>
    <row r="1274" ht="15.75" customHeight="1">
      <c r="E1274" s="15"/>
    </row>
    <row r="1275" ht="15.75" customHeight="1">
      <c r="E1275" s="15"/>
    </row>
    <row r="1276" ht="15.75" customHeight="1">
      <c r="E1276" s="15"/>
    </row>
    <row r="1277" ht="15.75" customHeight="1">
      <c r="E1277" s="15"/>
    </row>
    <row r="1278" ht="15.75" customHeight="1">
      <c r="E1278" s="15"/>
    </row>
    <row r="1279" ht="15.75" customHeight="1">
      <c r="E1279" s="15"/>
    </row>
    <row r="1280" ht="15.75" customHeight="1">
      <c r="E1280" s="15"/>
    </row>
    <row r="1281" ht="15.75" customHeight="1">
      <c r="E1281" s="15"/>
    </row>
    <row r="1282" ht="15.75" customHeight="1">
      <c r="E1282" s="15"/>
    </row>
    <row r="1283" ht="15.75" customHeight="1">
      <c r="E1283" s="15"/>
    </row>
    <row r="1284" ht="15.75" customHeight="1">
      <c r="E1284" s="15"/>
    </row>
    <row r="1285" ht="15.75" customHeight="1">
      <c r="E1285" s="15"/>
    </row>
    <row r="1286" ht="15.75" customHeight="1">
      <c r="E1286" s="15"/>
    </row>
    <row r="1287" ht="15.75" customHeight="1">
      <c r="E1287" s="15"/>
    </row>
    <row r="1288" ht="15.75" customHeight="1">
      <c r="E1288" s="15"/>
    </row>
    <row r="1289" ht="15.75" customHeight="1">
      <c r="E1289" s="15"/>
    </row>
    <row r="1290" ht="15.75" customHeight="1">
      <c r="E1290" s="15"/>
    </row>
    <row r="1291" ht="15.75" customHeight="1">
      <c r="E1291" s="15"/>
    </row>
    <row r="1292" ht="15.75" customHeight="1">
      <c r="E1292" s="15"/>
    </row>
    <row r="1293" ht="15.75" customHeight="1">
      <c r="E1293" s="15"/>
    </row>
    <row r="1294" ht="15.75" customHeight="1">
      <c r="E1294" s="15"/>
    </row>
    <row r="1295" ht="15.75" customHeight="1">
      <c r="E1295" s="15"/>
    </row>
    <row r="1296" ht="15.75" customHeight="1">
      <c r="E1296" s="15"/>
    </row>
    <row r="1297" ht="15.75" customHeight="1">
      <c r="E1297" s="15"/>
    </row>
    <row r="1298" ht="15.75" customHeight="1">
      <c r="E1298" s="15"/>
    </row>
    <row r="1299" ht="15.75" customHeight="1">
      <c r="E1299" s="15"/>
    </row>
    <row r="1300" ht="15.75" customHeight="1">
      <c r="E1300" s="15"/>
    </row>
    <row r="1301" ht="15.75" customHeight="1">
      <c r="E1301" s="15"/>
    </row>
    <row r="1302" ht="15.75" customHeight="1">
      <c r="E1302" s="15"/>
    </row>
    <row r="1303" ht="15.75" customHeight="1">
      <c r="E1303" s="15"/>
    </row>
    <row r="1304" ht="15.75" customHeight="1">
      <c r="E1304" s="15"/>
    </row>
    <row r="1305" ht="15.75" customHeight="1">
      <c r="E1305" s="15"/>
    </row>
    <row r="1306" ht="15.75" customHeight="1">
      <c r="E1306" s="15"/>
    </row>
    <row r="1307" ht="15.75" customHeight="1">
      <c r="E1307" s="15"/>
    </row>
    <row r="1308" ht="15.75" customHeight="1">
      <c r="E1308" s="15"/>
    </row>
    <row r="1309" ht="15.75" customHeight="1">
      <c r="E1309" s="15"/>
    </row>
    <row r="1310" ht="15.75" customHeight="1">
      <c r="E1310" s="15"/>
    </row>
    <row r="1311" ht="15.75" customHeight="1">
      <c r="E1311" s="15"/>
    </row>
    <row r="1312" ht="15.75" customHeight="1">
      <c r="E1312" s="15"/>
    </row>
    <row r="1313" ht="15.75" customHeight="1">
      <c r="E1313" s="15"/>
    </row>
    <row r="1314" ht="15.75" customHeight="1">
      <c r="E1314" s="15"/>
    </row>
    <row r="1315" ht="15.75" customHeight="1">
      <c r="E1315" s="15"/>
    </row>
    <row r="1316" ht="15.75" customHeight="1">
      <c r="E1316" s="15"/>
    </row>
    <row r="1317" ht="15.75" customHeight="1">
      <c r="E1317" s="15"/>
    </row>
    <row r="1318" ht="15.75" customHeight="1">
      <c r="E1318" s="15"/>
    </row>
    <row r="1319" ht="15.75" customHeight="1">
      <c r="E1319" s="15"/>
    </row>
    <row r="1320" ht="15.75" customHeight="1">
      <c r="E1320" s="15"/>
    </row>
    <row r="1321" ht="15.75" customHeight="1">
      <c r="E1321" s="15"/>
    </row>
    <row r="1322" ht="15.75" customHeight="1">
      <c r="E1322" s="15"/>
    </row>
    <row r="1323" ht="15.75" customHeight="1">
      <c r="E1323" s="15"/>
    </row>
    <row r="1324" ht="15.75" customHeight="1">
      <c r="E1324" s="15"/>
    </row>
    <row r="1325" ht="15.75" customHeight="1">
      <c r="E1325" s="15"/>
    </row>
    <row r="1326" ht="15.75" customHeight="1">
      <c r="E1326" s="15"/>
    </row>
    <row r="1327" ht="15.75" customHeight="1">
      <c r="E1327" s="15"/>
    </row>
    <row r="1328" ht="15.75" customHeight="1">
      <c r="E1328" s="15"/>
    </row>
    <row r="1329" ht="15.75" customHeight="1">
      <c r="E1329" s="15"/>
    </row>
    <row r="1330" ht="15.75" customHeight="1">
      <c r="E1330" s="15"/>
    </row>
    <row r="1331" ht="15.75" customHeight="1">
      <c r="E1331" s="15"/>
    </row>
    <row r="1332" ht="15.75" customHeight="1">
      <c r="E1332" s="15"/>
    </row>
    <row r="1333" ht="15.75" customHeight="1">
      <c r="E1333" s="15"/>
    </row>
    <row r="1334" ht="15.75" customHeight="1">
      <c r="E1334" s="15"/>
    </row>
    <row r="1335" ht="15.75" customHeight="1">
      <c r="E1335" s="15"/>
    </row>
    <row r="1336" ht="15.75" customHeight="1">
      <c r="E1336" s="15"/>
    </row>
    <row r="1337" ht="15.75" customHeight="1">
      <c r="E1337" s="15"/>
    </row>
    <row r="1338" ht="15.75" customHeight="1">
      <c r="E1338" s="15"/>
    </row>
    <row r="1339" ht="15.75" customHeight="1">
      <c r="E1339" s="15"/>
    </row>
    <row r="1340" ht="15.75" customHeight="1">
      <c r="E1340" s="15"/>
    </row>
    <row r="1341" ht="15.75" customHeight="1">
      <c r="E1341" s="15"/>
    </row>
    <row r="1342" ht="15.75" customHeight="1">
      <c r="E1342" s="15"/>
    </row>
    <row r="1343" ht="15.75" customHeight="1">
      <c r="E1343" s="15"/>
    </row>
    <row r="1344" ht="15.75" customHeight="1">
      <c r="E1344" s="15"/>
    </row>
    <row r="1345" ht="15.75" customHeight="1">
      <c r="E1345" s="15"/>
    </row>
    <row r="1346" ht="15.75" customHeight="1">
      <c r="E1346" s="15"/>
    </row>
    <row r="1347" ht="15.75" customHeight="1">
      <c r="E1347" s="15"/>
    </row>
    <row r="1348" ht="15.75" customHeight="1">
      <c r="E1348" s="15"/>
    </row>
    <row r="1349" ht="15.75" customHeight="1">
      <c r="E1349" s="15"/>
    </row>
    <row r="1350" ht="15.75" customHeight="1">
      <c r="E1350" s="15"/>
    </row>
    <row r="1351" ht="15.75" customHeight="1">
      <c r="E1351" s="15"/>
    </row>
    <row r="1352" ht="15.75" customHeight="1">
      <c r="E1352" s="15"/>
    </row>
    <row r="1353" ht="15.75" customHeight="1">
      <c r="E1353" s="15"/>
    </row>
    <row r="1354" ht="15.75" customHeight="1">
      <c r="E1354" s="15"/>
    </row>
    <row r="1355" ht="15.75" customHeight="1">
      <c r="E1355" s="15"/>
    </row>
    <row r="1356" ht="15.75" customHeight="1">
      <c r="E1356" s="15"/>
    </row>
    <row r="1357" ht="15.75" customHeight="1">
      <c r="E1357" s="15"/>
    </row>
    <row r="1358" ht="15.75" customHeight="1">
      <c r="E1358" s="15"/>
    </row>
    <row r="1359" ht="15.75" customHeight="1">
      <c r="E1359" s="15"/>
    </row>
    <row r="1360" ht="15.75" customHeight="1">
      <c r="E1360" s="15"/>
    </row>
    <row r="1361" ht="15.75" customHeight="1">
      <c r="E1361" s="15"/>
    </row>
    <row r="1362" ht="15.75" customHeight="1">
      <c r="E1362" s="15"/>
    </row>
    <row r="1363" ht="15.75" customHeight="1">
      <c r="E1363" s="15"/>
    </row>
    <row r="1364" ht="15.75" customHeight="1">
      <c r="E1364" s="15"/>
    </row>
    <row r="1365" ht="15.75" customHeight="1">
      <c r="E1365" s="15"/>
    </row>
    <row r="1366" ht="15.75" customHeight="1">
      <c r="E1366" s="15"/>
    </row>
    <row r="1367" ht="15.75" customHeight="1">
      <c r="E1367" s="15"/>
    </row>
    <row r="1368" ht="15.75" customHeight="1">
      <c r="E1368" s="15"/>
    </row>
    <row r="1369" ht="15.75" customHeight="1">
      <c r="E1369" s="15"/>
    </row>
    <row r="1370" ht="15.75" customHeight="1">
      <c r="E1370" s="15"/>
    </row>
    <row r="1371" ht="15.75" customHeight="1">
      <c r="E1371" s="15"/>
    </row>
    <row r="1372" ht="15.75" customHeight="1">
      <c r="E1372" s="15"/>
    </row>
    <row r="1373" ht="15.75" customHeight="1">
      <c r="E1373" s="15"/>
    </row>
    <row r="1374" ht="15.75" customHeight="1">
      <c r="E1374" s="15"/>
    </row>
    <row r="1375" ht="15.75" customHeight="1">
      <c r="E1375" s="15"/>
    </row>
    <row r="1376" ht="15.75" customHeight="1">
      <c r="E1376" s="15"/>
    </row>
    <row r="1377" ht="15.75" customHeight="1">
      <c r="E1377" s="15"/>
    </row>
    <row r="1378" ht="15.75" customHeight="1">
      <c r="E1378" s="15"/>
    </row>
    <row r="1379" ht="15.75" customHeight="1">
      <c r="E1379" s="15"/>
    </row>
    <row r="1380" ht="15.75" customHeight="1">
      <c r="E1380" s="15"/>
    </row>
    <row r="1381" ht="15.75" customHeight="1">
      <c r="E1381" s="15"/>
    </row>
    <row r="1382" ht="15.75" customHeight="1">
      <c r="E1382" s="15"/>
    </row>
    <row r="1383" ht="15.75" customHeight="1">
      <c r="E1383" s="15"/>
    </row>
    <row r="1384" ht="15.75" customHeight="1">
      <c r="E1384" s="15"/>
    </row>
    <row r="1385" ht="15.75" customHeight="1">
      <c r="E1385" s="15"/>
    </row>
    <row r="1386" ht="15.75" customHeight="1">
      <c r="E1386" s="15"/>
    </row>
    <row r="1387" ht="15.75" customHeight="1">
      <c r="E1387" s="15"/>
    </row>
    <row r="1388" ht="15.75" customHeight="1">
      <c r="E1388" s="15"/>
    </row>
    <row r="1389" ht="15.75" customHeight="1">
      <c r="E1389" s="15"/>
    </row>
    <row r="1390" ht="15.75" customHeight="1">
      <c r="E1390" s="15"/>
    </row>
    <row r="1391" ht="15.75" customHeight="1">
      <c r="E1391" s="15"/>
    </row>
    <row r="1392" ht="15.75" customHeight="1">
      <c r="E1392" s="15"/>
    </row>
    <row r="1393" ht="15.75" customHeight="1">
      <c r="E1393" s="15"/>
    </row>
    <row r="1394" ht="15.75" customHeight="1">
      <c r="E1394" s="15"/>
    </row>
    <row r="1395" ht="15.75" customHeight="1">
      <c r="E1395" s="15"/>
    </row>
    <row r="1396" ht="15.75" customHeight="1">
      <c r="E1396" s="15"/>
    </row>
    <row r="1397" ht="15.75" customHeight="1">
      <c r="E1397" s="15"/>
    </row>
    <row r="1398" ht="15.75" customHeight="1">
      <c r="E1398" s="15"/>
    </row>
    <row r="1399" ht="15.75" customHeight="1">
      <c r="E1399" s="15"/>
    </row>
    <row r="1400" ht="15.75" customHeight="1">
      <c r="E1400" s="15"/>
    </row>
    <row r="1401" ht="15.75" customHeight="1">
      <c r="E1401" s="15"/>
    </row>
    <row r="1402" ht="15.75" customHeight="1">
      <c r="E1402" s="15"/>
    </row>
    <row r="1403" ht="15.75" customHeight="1">
      <c r="E1403" s="15"/>
    </row>
    <row r="1404" ht="15.75" customHeight="1">
      <c r="E1404" s="15"/>
    </row>
    <row r="1405" ht="15.75" customHeight="1">
      <c r="E1405" s="15"/>
    </row>
    <row r="1406" ht="15.75" customHeight="1">
      <c r="E1406" s="15"/>
    </row>
    <row r="1407" ht="15.75" customHeight="1">
      <c r="E1407" s="15"/>
    </row>
    <row r="1408" ht="15.75" customHeight="1">
      <c r="E1408" s="15"/>
    </row>
    <row r="1409" ht="15.75" customHeight="1">
      <c r="E1409" s="15"/>
    </row>
    <row r="1410" ht="15.75" customHeight="1">
      <c r="E1410" s="15"/>
    </row>
    <row r="1411" ht="15.75" customHeight="1">
      <c r="E1411" s="15"/>
    </row>
    <row r="1412" ht="15.75" customHeight="1">
      <c r="E1412" s="15"/>
    </row>
    <row r="1413" ht="15.75" customHeight="1">
      <c r="E1413" s="15"/>
    </row>
    <row r="1414" ht="15.75" customHeight="1">
      <c r="E1414" s="15"/>
    </row>
    <row r="1415" ht="15.75" customHeight="1">
      <c r="E1415" s="15"/>
    </row>
    <row r="1416" ht="15.75" customHeight="1">
      <c r="E1416" s="15"/>
    </row>
    <row r="1417" ht="15.75" customHeight="1">
      <c r="E1417" s="15"/>
    </row>
    <row r="1418" ht="15.75" customHeight="1">
      <c r="E1418" s="15"/>
    </row>
    <row r="1419" ht="15.75" customHeight="1">
      <c r="E1419" s="15"/>
    </row>
    <row r="1420" ht="15.75" customHeight="1">
      <c r="E1420" s="15"/>
    </row>
    <row r="1421" ht="15.75" customHeight="1">
      <c r="E1421" s="15"/>
    </row>
    <row r="1422" ht="15.75" customHeight="1">
      <c r="E1422" s="15"/>
    </row>
    <row r="1423" ht="15.75" customHeight="1">
      <c r="E1423" s="15"/>
    </row>
    <row r="1424" ht="15.75" customHeight="1">
      <c r="E1424" s="15"/>
    </row>
    <row r="1425" ht="15.75" customHeight="1">
      <c r="E1425" s="15"/>
    </row>
    <row r="1426" ht="15.75" customHeight="1">
      <c r="E1426" s="15"/>
    </row>
    <row r="1427" ht="15.75" customHeight="1">
      <c r="E1427" s="15"/>
    </row>
    <row r="1428" ht="15.75" customHeight="1">
      <c r="E1428" s="15"/>
    </row>
    <row r="1429" ht="15.75" customHeight="1">
      <c r="E1429" s="15"/>
    </row>
    <row r="1430" ht="15.75" customHeight="1">
      <c r="E1430" s="15"/>
    </row>
    <row r="1431" ht="15.75" customHeight="1">
      <c r="E1431" s="15"/>
    </row>
    <row r="1432" ht="15.75" customHeight="1">
      <c r="E1432" s="15"/>
    </row>
    <row r="1433" ht="15.75" customHeight="1">
      <c r="E1433" s="15"/>
    </row>
    <row r="1434" ht="15.75" customHeight="1">
      <c r="E1434" s="15"/>
    </row>
    <row r="1435" ht="15.75" customHeight="1">
      <c r="E1435" s="15"/>
    </row>
    <row r="1436" ht="15.75" customHeight="1">
      <c r="E1436" s="15"/>
    </row>
    <row r="1437" ht="15.75" customHeight="1">
      <c r="E1437" s="15"/>
    </row>
    <row r="1438" ht="15.75" customHeight="1">
      <c r="E1438" s="15"/>
    </row>
    <row r="1439" ht="15.75" customHeight="1">
      <c r="E1439" s="15"/>
    </row>
    <row r="1440" ht="15.75" customHeight="1">
      <c r="E1440" s="15"/>
    </row>
    <row r="1441" ht="15.75" customHeight="1">
      <c r="E1441" s="15"/>
    </row>
    <row r="1442" ht="15.75" customHeight="1">
      <c r="E1442" s="15"/>
    </row>
    <row r="1443" ht="15.75" customHeight="1">
      <c r="E1443" s="15"/>
    </row>
    <row r="1444" ht="15.75" customHeight="1">
      <c r="E1444" s="15"/>
    </row>
    <row r="1445" ht="15.75" customHeight="1">
      <c r="E1445" s="15"/>
    </row>
    <row r="1446" ht="15.75" customHeight="1">
      <c r="E1446" s="15"/>
    </row>
    <row r="1447" ht="15.75" customHeight="1">
      <c r="E1447" s="15"/>
    </row>
    <row r="1448" ht="15.75" customHeight="1">
      <c r="E1448" s="15"/>
    </row>
    <row r="1449" ht="15.75" customHeight="1">
      <c r="E1449" s="15"/>
    </row>
    <row r="1450" ht="15.75" customHeight="1">
      <c r="E1450" s="15"/>
    </row>
    <row r="1451" ht="15.75" customHeight="1">
      <c r="E1451" s="15"/>
    </row>
    <row r="1452" ht="15.75" customHeight="1">
      <c r="E1452" s="15"/>
    </row>
    <row r="1453" ht="15.75" customHeight="1">
      <c r="E1453" s="15"/>
    </row>
    <row r="1454" ht="15.75" customHeight="1">
      <c r="E1454" s="15"/>
    </row>
    <row r="1455" ht="15.75" customHeight="1">
      <c r="E1455" s="15"/>
    </row>
    <row r="1456" ht="15.75" customHeight="1">
      <c r="E1456" s="15"/>
    </row>
    <row r="1457" ht="15.75" customHeight="1">
      <c r="E1457" s="15"/>
    </row>
    <row r="1458" ht="15.75" customHeight="1">
      <c r="E1458" s="15"/>
    </row>
    <row r="1459" ht="15.75" customHeight="1">
      <c r="E1459" s="15"/>
    </row>
    <row r="1460" ht="15.75" customHeight="1">
      <c r="E1460" s="15"/>
    </row>
    <row r="1461" ht="15.75" customHeight="1">
      <c r="E1461" s="15"/>
    </row>
    <row r="1462" ht="15.75" customHeight="1">
      <c r="E1462" s="15"/>
    </row>
    <row r="1463" ht="15.75" customHeight="1">
      <c r="E1463" s="15"/>
    </row>
    <row r="1464" ht="15.75" customHeight="1">
      <c r="E1464" s="15"/>
    </row>
    <row r="1465" ht="15.75" customHeight="1">
      <c r="E1465" s="15"/>
    </row>
    <row r="1466" ht="15.75" customHeight="1">
      <c r="E1466" s="15"/>
    </row>
    <row r="1467" ht="15.75" customHeight="1">
      <c r="E1467" s="15"/>
    </row>
    <row r="1468" ht="15.75" customHeight="1">
      <c r="E1468" s="15"/>
    </row>
    <row r="1469" ht="15.75" customHeight="1">
      <c r="E1469" s="15"/>
    </row>
    <row r="1470" ht="15.75" customHeight="1">
      <c r="E1470" s="15"/>
    </row>
    <row r="1471" ht="15.75" customHeight="1">
      <c r="E1471" s="15"/>
    </row>
    <row r="1472" ht="15.75" customHeight="1">
      <c r="E1472" s="15"/>
    </row>
    <row r="1473" ht="15.75" customHeight="1">
      <c r="E1473" s="15"/>
    </row>
    <row r="1474" ht="15.75" customHeight="1">
      <c r="E1474" s="15"/>
    </row>
    <row r="1475" ht="15.75" customHeight="1">
      <c r="E1475" s="15"/>
    </row>
    <row r="1476" ht="15.75" customHeight="1">
      <c r="E1476" s="15"/>
    </row>
    <row r="1477" ht="15.75" customHeight="1">
      <c r="E1477" s="15"/>
    </row>
    <row r="1478" ht="15.75" customHeight="1">
      <c r="E1478" s="15"/>
    </row>
    <row r="1479" ht="15.75" customHeight="1">
      <c r="E1479" s="15"/>
    </row>
    <row r="1480" ht="15.75" customHeight="1">
      <c r="E1480" s="15"/>
    </row>
    <row r="1481" ht="15.75" customHeight="1">
      <c r="E1481" s="15"/>
    </row>
    <row r="1482" ht="15.75" customHeight="1">
      <c r="E1482" s="15"/>
    </row>
    <row r="1483" ht="15.75" customHeight="1">
      <c r="E1483" s="15"/>
    </row>
    <row r="1484" ht="15.75" customHeight="1">
      <c r="E1484" s="15"/>
    </row>
    <row r="1485" ht="15.75" customHeight="1">
      <c r="E1485" s="15"/>
    </row>
    <row r="1486" ht="15.75" customHeight="1">
      <c r="E1486" s="15"/>
    </row>
    <row r="1487" ht="15.75" customHeight="1">
      <c r="E1487" s="15"/>
    </row>
    <row r="1488" ht="15.75" customHeight="1">
      <c r="E1488" s="15"/>
    </row>
    <row r="1489" ht="15.75" customHeight="1">
      <c r="E1489" s="15"/>
    </row>
    <row r="1490" ht="15.75" customHeight="1">
      <c r="E1490" s="15"/>
    </row>
    <row r="1491" ht="15.75" customHeight="1">
      <c r="E1491" s="15"/>
    </row>
    <row r="1492" ht="15.75" customHeight="1">
      <c r="E1492" s="15"/>
    </row>
    <row r="1493" ht="15.75" customHeight="1">
      <c r="E1493" s="15"/>
    </row>
    <row r="1494" ht="15.75" customHeight="1">
      <c r="E1494" s="15"/>
    </row>
    <row r="1495" ht="15.75" customHeight="1">
      <c r="E1495" s="15"/>
    </row>
    <row r="1496" ht="15.75" customHeight="1">
      <c r="E1496" s="15"/>
    </row>
    <row r="1497" ht="15.75" customHeight="1">
      <c r="E1497" s="15"/>
    </row>
    <row r="1498" ht="15.75" customHeight="1">
      <c r="E1498" s="15"/>
    </row>
    <row r="1499" ht="15.75" customHeight="1">
      <c r="E1499" s="15"/>
    </row>
    <row r="1500" ht="15.75" customHeight="1">
      <c r="E1500" s="15"/>
    </row>
    <row r="1501" ht="15.75" customHeight="1">
      <c r="E1501" s="15"/>
    </row>
    <row r="1502" ht="15.75" customHeight="1">
      <c r="E1502" s="15"/>
    </row>
    <row r="1503" ht="15.75" customHeight="1">
      <c r="E1503" s="15"/>
    </row>
    <row r="1504" ht="15.75" customHeight="1">
      <c r="E1504" s="15"/>
    </row>
    <row r="1505" ht="15.75" customHeight="1">
      <c r="E1505" s="15"/>
    </row>
    <row r="1506" ht="15.75" customHeight="1">
      <c r="E1506" s="15"/>
    </row>
    <row r="1507" ht="15.75" customHeight="1">
      <c r="E1507" s="15"/>
    </row>
    <row r="1508" ht="15.75" customHeight="1">
      <c r="E1508" s="15"/>
    </row>
    <row r="1509" ht="15.75" customHeight="1">
      <c r="E1509" s="15"/>
    </row>
    <row r="1510" ht="15.75" customHeight="1">
      <c r="E1510" s="15"/>
    </row>
    <row r="1511" ht="15.75" customHeight="1">
      <c r="E1511" s="15"/>
    </row>
    <row r="1512" ht="15.75" customHeight="1">
      <c r="E1512" s="15"/>
    </row>
    <row r="1513" ht="15.75" customHeight="1">
      <c r="E1513" s="15"/>
    </row>
    <row r="1514" ht="15.75" customHeight="1">
      <c r="E1514" s="15"/>
    </row>
    <row r="1515" ht="15.75" customHeight="1">
      <c r="E1515" s="15"/>
    </row>
    <row r="1516" ht="15.75" customHeight="1">
      <c r="E1516" s="15"/>
    </row>
    <row r="1517" ht="15.75" customHeight="1">
      <c r="E1517" s="15"/>
    </row>
    <row r="1518" ht="15.75" customHeight="1">
      <c r="E1518" s="15"/>
    </row>
    <row r="1519" ht="15.75" customHeight="1">
      <c r="E1519" s="15"/>
    </row>
    <row r="1520" ht="15.75" customHeight="1">
      <c r="E1520" s="15"/>
    </row>
    <row r="1521" ht="15.75" customHeight="1">
      <c r="E1521" s="15"/>
    </row>
    <row r="1522" ht="15.75" customHeight="1">
      <c r="E1522" s="15"/>
    </row>
    <row r="1523" ht="15.75" customHeight="1">
      <c r="E1523" s="15"/>
    </row>
    <row r="1524" ht="15.75" customHeight="1">
      <c r="E1524" s="15"/>
    </row>
    <row r="1525" ht="15.75" customHeight="1">
      <c r="E1525" s="15"/>
    </row>
    <row r="1526" ht="15.75" customHeight="1">
      <c r="E1526" s="15"/>
    </row>
    <row r="1527" ht="15.75" customHeight="1">
      <c r="E1527" s="15"/>
    </row>
    <row r="1528" ht="15.75" customHeight="1">
      <c r="E1528" s="15"/>
    </row>
    <row r="1529" ht="15.75" customHeight="1">
      <c r="E1529" s="15"/>
    </row>
    <row r="1530" ht="15.75" customHeight="1">
      <c r="E1530" s="15"/>
    </row>
    <row r="1531" ht="15.75" customHeight="1">
      <c r="E1531" s="15"/>
    </row>
    <row r="1532" ht="15.75" customHeight="1">
      <c r="E1532" s="15"/>
    </row>
    <row r="1533" ht="15.75" customHeight="1">
      <c r="E1533" s="15"/>
    </row>
    <row r="1534" ht="15.75" customHeight="1">
      <c r="E1534" s="15"/>
    </row>
    <row r="1535" ht="15.75" customHeight="1">
      <c r="E1535" s="15"/>
    </row>
    <row r="1536" ht="15.75" customHeight="1">
      <c r="E1536" s="15"/>
    </row>
    <row r="1537" ht="15.75" customHeight="1">
      <c r="E1537" s="15"/>
    </row>
    <row r="1538" ht="15.75" customHeight="1">
      <c r="E1538" s="15"/>
    </row>
    <row r="1539" ht="15.75" customHeight="1">
      <c r="E1539" s="15"/>
    </row>
    <row r="1540" ht="15.75" customHeight="1">
      <c r="E1540" s="15"/>
    </row>
    <row r="1541" ht="15.75" customHeight="1">
      <c r="E1541" s="15"/>
    </row>
    <row r="1542" ht="15.75" customHeight="1">
      <c r="E1542" s="15"/>
    </row>
    <row r="1543" ht="15.75" customHeight="1">
      <c r="E1543" s="15"/>
    </row>
    <row r="1544" ht="15.75" customHeight="1">
      <c r="E1544" s="15"/>
    </row>
    <row r="1545" ht="15.75" customHeight="1">
      <c r="E1545" s="15"/>
    </row>
    <row r="1546" ht="15.75" customHeight="1">
      <c r="E1546" s="15"/>
    </row>
    <row r="1547" ht="15.75" customHeight="1">
      <c r="E1547" s="15"/>
    </row>
    <row r="1548" ht="15.75" customHeight="1">
      <c r="E1548" s="15"/>
    </row>
    <row r="1549" ht="15.75" customHeight="1">
      <c r="E1549" s="15"/>
    </row>
    <row r="1550" ht="15.75" customHeight="1">
      <c r="E1550" s="15"/>
    </row>
    <row r="1551" ht="15.75" customHeight="1">
      <c r="E1551" s="15"/>
    </row>
    <row r="1552" ht="15.75" customHeight="1">
      <c r="E1552" s="15"/>
    </row>
    <row r="1553" ht="15.75" customHeight="1">
      <c r="E1553" s="15"/>
    </row>
    <row r="1554" ht="15.75" customHeight="1">
      <c r="E1554" s="15"/>
    </row>
    <row r="1555" ht="15.75" customHeight="1">
      <c r="E1555" s="15"/>
    </row>
    <row r="1556" ht="15.75" customHeight="1">
      <c r="E1556" s="15"/>
    </row>
    <row r="1557" ht="15.75" customHeight="1">
      <c r="E1557" s="15"/>
    </row>
    <row r="1558" ht="15.75" customHeight="1">
      <c r="E1558" s="15"/>
    </row>
    <row r="1559" ht="15.75" customHeight="1">
      <c r="E1559" s="15"/>
    </row>
    <row r="1560" ht="15.75" customHeight="1">
      <c r="E1560" s="15"/>
    </row>
    <row r="1561" ht="15.75" customHeight="1">
      <c r="E1561" s="15"/>
    </row>
    <row r="1562" ht="15.75" customHeight="1">
      <c r="E1562" s="15"/>
    </row>
    <row r="1563" ht="15.75" customHeight="1">
      <c r="E1563" s="15"/>
    </row>
    <row r="1564" ht="15.75" customHeight="1">
      <c r="E1564" s="15"/>
    </row>
    <row r="1565" ht="15.75" customHeight="1">
      <c r="E1565" s="15"/>
    </row>
    <row r="1566" ht="15.75" customHeight="1">
      <c r="E1566" s="15"/>
    </row>
    <row r="1567" ht="15.75" customHeight="1">
      <c r="E1567" s="15"/>
    </row>
    <row r="1568" ht="15.75" customHeight="1">
      <c r="E1568" s="15"/>
    </row>
    <row r="1569" ht="15.75" customHeight="1">
      <c r="E1569" s="15"/>
    </row>
    <row r="1570" ht="15.75" customHeight="1">
      <c r="E1570" s="15"/>
    </row>
    <row r="1571" ht="15.75" customHeight="1">
      <c r="E1571" s="15"/>
    </row>
    <row r="1572" ht="15.75" customHeight="1">
      <c r="E1572" s="15"/>
    </row>
    <row r="1573" ht="15.75" customHeight="1">
      <c r="E1573" s="15"/>
    </row>
    <row r="1574" ht="15.75" customHeight="1">
      <c r="E1574" s="15"/>
    </row>
    <row r="1575" ht="15.75" customHeight="1">
      <c r="E1575" s="15"/>
    </row>
    <row r="1576" ht="15.75" customHeight="1">
      <c r="E1576" s="15"/>
    </row>
    <row r="1577" ht="15.75" customHeight="1">
      <c r="E1577" s="15"/>
    </row>
    <row r="1578" ht="15.75" customHeight="1">
      <c r="E1578" s="15"/>
    </row>
    <row r="1579" ht="15.75" customHeight="1">
      <c r="E1579" s="15"/>
    </row>
    <row r="1580" ht="15.75" customHeight="1">
      <c r="E1580" s="15"/>
    </row>
    <row r="1581" ht="15.75" customHeight="1">
      <c r="E1581" s="15"/>
    </row>
    <row r="1582" ht="15.75" customHeight="1">
      <c r="E1582" s="15"/>
    </row>
    <row r="1583" ht="15.75" customHeight="1">
      <c r="E1583" s="15"/>
    </row>
    <row r="1584" ht="15.75" customHeight="1">
      <c r="E1584" s="15"/>
    </row>
    <row r="1585" ht="15.75" customHeight="1">
      <c r="E1585" s="15"/>
    </row>
    <row r="1586" ht="15.75" customHeight="1">
      <c r="E1586" s="15"/>
    </row>
    <row r="1587" ht="15.75" customHeight="1">
      <c r="E1587" s="15"/>
    </row>
    <row r="1588" ht="15.75" customHeight="1">
      <c r="E1588" s="15"/>
    </row>
    <row r="1589" ht="15.75" customHeight="1">
      <c r="E1589" s="15"/>
    </row>
    <row r="1590" ht="15.75" customHeight="1">
      <c r="E1590" s="15"/>
    </row>
    <row r="1591" ht="15.75" customHeight="1">
      <c r="E1591" s="15"/>
    </row>
    <row r="1592" ht="15.75" customHeight="1">
      <c r="E1592" s="15"/>
    </row>
    <row r="1593" ht="15.75" customHeight="1">
      <c r="E1593" s="15"/>
    </row>
    <row r="1594" ht="15.75" customHeight="1">
      <c r="E1594" s="15"/>
    </row>
    <row r="1595" ht="15.75" customHeight="1">
      <c r="E1595" s="15"/>
    </row>
    <row r="1596" ht="15.75" customHeight="1">
      <c r="E1596" s="15"/>
    </row>
    <row r="1597" ht="15.75" customHeight="1">
      <c r="E1597" s="15"/>
    </row>
    <row r="1598" ht="15.75" customHeight="1">
      <c r="E1598" s="15"/>
    </row>
    <row r="1599" ht="15.75" customHeight="1">
      <c r="E1599" s="15"/>
    </row>
    <row r="1600" ht="15.75" customHeight="1">
      <c r="E1600" s="15"/>
    </row>
    <row r="1601" ht="15.75" customHeight="1">
      <c r="E1601" s="15"/>
    </row>
    <row r="1602" ht="15.75" customHeight="1">
      <c r="E1602" s="15"/>
    </row>
    <row r="1603" ht="15.75" customHeight="1">
      <c r="E1603" s="15"/>
    </row>
    <row r="1604" ht="15.75" customHeight="1">
      <c r="E1604" s="15"/>
    </row>
    <row r="1605" ht="15.75" customHeight="1">
      <c r="E1605" s="15"/>
    </row>
    <row r="1606" ht="15.75" customHeight="1">
      <c r="E1606" s="15"/>
    </row>
    <row r="1607" ht="15.75" customHeight="1">
      <c r="E1607" s="15"/>
    </row>
    <row r="1608" ht="15.75" customHeight="1">
      <c r="E1608" s="15"/>
    </row>
    <row r="1609" ht="15.75" customHeight="1">
      <c r="E1609" s="15"/>
    </row>
    <row r="1610" ht="15.75" customHeight="1">
      <c r="E1610" s="15"/>
    </row>
    <row r="1611" ht="15.75" customHeight="1">
      <c r="E1611" s="15"/>
    </row>
    <row r="1612" ht="15.75" customHeight="1">
      <c r="E1612" s="15"/>
    </row>
    <row r="1613" ht="15.75" customHeight="1">
      <c r="E1613" s="15"/>
    </row>
    <row r="1614" ht="15.75" customHeight="1">
      <c r="E1614" s="15"/>
    </row>
    <row r="1615" ht="15.75" customHeight="1">
      <c r="E1615" s="15"/>
    </row>
    <row r="1616" ht="15.75" customHeight="1">
      <c r="E1616" s="15"/>
    </row>
    <row r="1617" ht="15.75" customHeight="1">
      <c r="E1617" s="15"/>
    </row>
    <row r="1618" ht="15.75" customHeight="1">
      <c r="E1618" s="15"/>
    </row>
    <row r="1619" ht="15.75" customHeight="1">
      <c r="E1619" s="15"/>
    </row>
    <row r="1620" ht="15.75" customHeight="1">
      <c r="E1620" s="15"/>
    </row>
    <row r="1621" ht="15.75" customHeight="1">
      <c r="E1621" s="15"/>
    </row>
    <row r="1622" ht="15.75" customHeight="1">
      <c r="E1622" s="15"/>
    </row>
    <row r="1623" ht="15.75" customHeight="1">
      <c r="E1623" s="15"/>
    </row>
    <row r="1624" ht="15.75" customHeight="1">
      <c r="E1624" s="15"/>
    </row>
    <row r="1625" ht="15.75" customHeight="1">
      <c r="E1625" s="15"/>
    </row>
    <row r="1626" ht="15.75" customHeight="1">
      <c r="E1626" s="15"/>
    </row>
    <row r="1627" ht="15.75" customHeight="1">
      <c r="E1627" s="15"/>
    </row>
    <row r="1628" ht="15.75" customHeight="1">
      <c r="E1628" s="15"/>
    </row>
    <row r="1629" ht="15.75" customHeight="1">
      <c r="E1629" s="15"/>
    </row>
    <row r="1630" ht="15.75" customHeight="1">
      <c r="E1630" s="15"/>
    </row>
    <row r="1631" ht="15.75" customHeight="1">
      <c r="E1631" s="15"/>
    </row>
    <row r="1632" ht="15.75" customHeight="1">
      <c r="E1632" s="15"/>
    </row>
    <row r="1633" ht="15.75" customHeight="1">
      <c r="E1633" s="15"/>
    </row>
    <row r="1634" ht="15.75" customHeight="1">
      <c r="E1634" s="15"/>
    </row>
    <row r="1635" ht="15.75" customHeight="1">
      <c r="E1635" s="15"/>
    </row>
    <row r="1636" ht="15.75" customHeight="1">
      <c r="E1636" s="15"/>
    </row>
    <row r="1637" ht="15.75" customHeight="1">
      <c r="E1637" s="15"/>
    </row>
    <row r="1638" ht="15.75" customHeight="1">
      <c r="E1638" s="15"/>
    </row>
    <row r="1639" ht="15.75" customHeight="1">
      <c r="E1639" s="15"/>
    </row>
    <row r="1640" ht="15.75" customHeight="1">
      <c r="E1640" s="15"/>
    </row>
    <row r="1641" ht="15.75" customHeight="1">
      <c r="E1641" s="15"/>
    </row>
    <row r="1642" ht="15.75" customHeight="1">
      <c r="E1642" s="15"/>
    </row>
    <row r="1643" ht="15.75" customHeight="1">
      <c r="E1643" s="15"/>
    </row>
    <row r="1644" ht="15.75" customHeight="1">
      <c r="E1644" s="15"/>
    </row>
    <row r="1645" ht="15.75" customHeight="1">
      <c r="E1645" s="15"/>
    </row>
    <row r="1646" ht="15.75" customHeight="1">
      <c r="E1646" s="15"/>
    </row>
    <row r="1647" ht="15.75" customHeight="1">
      <c r="E1647" s="15"/>
    </row>
    <row r="1648" ht="15.75" customHeight="1">
      <c r="E1648" s="15"/>
    </row>
    <row r="1649" ht="15.75" customHeight="1">
      <c r="E1649" s="15"/>
    </row>
    <row r="1650" ht="15.75" customHeight="1">
      <c r="E1650" s="15"/>
    </row>
    <row r="1651" ht="15.75" customHeight="1">
      <c r="E1651" s="15"/>
    </row>
    <row r="1652" ht="15.75" customHeight="1">
      <c r="E1652" s="15"/>
    </row>
    <row r="1653" ht="15.75" customHeight="1">
      <c r="E1653" s="15"/>
    </row>
    <row r="1654" ht="15.75" customHeight="1">
      <c r="E1654" s="15"/>
    </row>
    <row r="1655" ht="15.75" customHeight="1">
      <c r="E1655" s="15"/>
    </row>
    <row r="1656" ht="15.75" customHeight="1">
      <c r="E1656" s="15"/>
    </row>
    <row r="1657" ht="15.75" customHeight="1">
      <c r="E1657" s="15"/>
    </row>
    <row r="1658" ht="15.75" customHeight="1">
      <c r="E1658" s="15"/>
    </row>
    <row r="1659" ht="15.75" customHeight="1">
      <c r="E1659" s="15"/>
    </row>
    <row r="1660" ht="15.75" customHeight="1">
      <c r="E1660" s="15"/>
    </row>
    <row r="1661" ht="15.75" customHeight="1">
      <c r="E1661" s="15"/>
    </row>
    <row r="1662" ht="15.75" customHeight="1">
      <c r="E1662" s="15"/>
    </row>
    <row r="1663" ht="15.75" customHeight="1">
      <c r="E1663" s="15"/>
    </row>
    <row r="1664" ht="15.75" customHeight="1">
      <c r="E1664" s="15"/>
    </row>
    <row r="1665" ht="15.75" customHeight="1">
      <c r="E1665" s="15"/>
    </row>
    <row r="1666" ht="15.75" customHeight="1">
      <c r="E1666" s="15"/>
    </row>
    <row r="1667" ht="15.75" customHeight="1">
      <c r="E1667" s="15"/>
    </row>
    <row r="1668" ht="15.75" customHeight="1">
      <c r="E1668" s="15"/>
    </row>
    <row r="1669" ht="15.75" customHeight="1">
      <c r="E1669" s="15"/>
    </row>
    <row r="1670" ht="15.75" customHeight="1">
      <c r="E1670" s="15"/>
    </row>
    <row r="1671" ht="15.75" customHeight="1">
      <c r="E1671" s="15"/>
    </row>
    <row r="1672" ht="15.75" customHeight="1">
      <c r="E1672" s="15"/>
    </row>
    <row r="1673" ht="15.75" customHeight="1">
      <c r="E1673" s="15"/>
    </row>
    <row r="1674" ht="15.75" customHeight="1">
      <c r="E1674" s="15"/>
    </row>
    <row r="1675" ht="15.75" customHeight="1">
      <c r="E1675" s="15"/>
    </row>
    <row r="1676" ht="15.75" customHeight="1">
      <c r="E1676" s="15"/>
    </row>
    <row r="1677" ht="15.75" customHeight="1">
      <c r="E1677" s="15"/>
    </row>
    <row r="1678" ht="15.75" customHeight="1">
      <c r="E1678" s="15"/>
    </row>
    <row r="1679" ht="15.75" customHeight="1">
      <c r="E1679" s="15"/>
    </row>
    <row r="1680" ht="15.75" customHeight="1">
      <c r="E1680" s="15"/>
    </row>
    <row r="1681" ht="15.75" customHeight="1">
      <c r="E1681" s="15"/>
    </row>
    <row r="1682" ht="15.75" customHeight="1">
      <c r="E1682" s="15"/>
    </row>
    <row r="1683" ht="15.75" customHeight="1">
      <c r="E1683" s="15"/>
    </row>
    <row r="1684" ht="15.75" customHeight="1">
      <c r="E1684" s="15"/>
    </row>
    <row r="1685" ht="15.75" customHeight="1">
      <c r="E1685" s="15"/>
    </row>
    <row r="1686" ht="15.75" customHeight="1">
      <c r="E1686" s="15"/>
    </row>
    <row r="1687" ht="15.75" customHeight="1">
      <c r="E1687" s="15"/>
    </row>
    <row r="1688" ht="15.75" customHeight="1">
      <c r="E1688" s="15"/>
    </row>
    <row r="1689" ht="15.75" customHeight="1">
      <c r="E1689" s="15"/>
    </row>
    <row r="1690" ht="15.75" customHeight="1">
      <c r="E1690" s="15"/>
    </row>
    <row r="1691" ht="15.75" customHeight="1">
      <c r="E1691" s="15"/>
    </row>
    <row r="1692" ht="15.75" customHeight="1">
      <c r="E1692" s="15"/>
    </row>
    <row r="1693" ht="15.75" customHeight="1">
      <c r="E1693" s="15"/>
    </row>
    <row r="1694" ht="15.75" customHeight="1">
      <c r="E1694" s="15"/>
    </row>
    <row r="1695" ht="15.75" customHeight="1">
      <c r="E1695" s="15"/>
    </row>
    <row r="1696" ht="15.75" customHeight="1">
      <c r="E1696" s="15"/>
    </row>
    <row r="1697" ht="15.75" customHeight="1">
      <c r="E1697" s="15"/>
    </row>
    <row r="1698" ht="15.75" customHeight="1">
      <c r="E1698" s="15"/>
    </row>
    <row r="1699" ht="15.75" customHeight="1">
      <c r="E1699" s="15"/>
    </row>
    <row r="1700" ht="15.75" customHeight="1">
      <c r="E1700" s="15"/>
    </row>
    <row r="1701" ht="15.75" customHeight="1">
      <c r="E1701" s="15"/>
    </row>
    <row r="1702" ht="15.75" customHeight="1">
      <c r="E1702" s="15"/>
    </row>
    <row r="1703" ht="15.75" customHeight="1">
      <c r="E1703" s="15"/>
    </row>
    <row r="1704" ht="15.75" customHeight="1">
      <c r="E1704" s="15"/>
    </row>
    <row r="1705" ht="15.75" customHeight="1">
      <c r="E1705" s="15"/>
    </row>
    <row r="1706" ht="15.75" customHeight="1">
      <c r="E1706" s="15"/>
    </row>
    <row r="1707" ht="15.75" customHeight="1">
      <c r="E1707" s="15"/>
    </row>
    <row r="1708" ht="15.75" customHeight="1">
      <c r="E1708" s="15"/>
    </row>
    <row r="1709" ht="15.75" customHeight="1">
      <c r="E1709" s="15"/>
    </row>
    <row r="1710" ht="15.75" customHeight="1">
      <c r="E1710" s="15"/>
    </row>
    <row r="1711" ht="15.75" customHeight="1">
      <c r="E1711" s="15"/>
    </row>
    <row r="1712" ht="15.75" customHeight="1">
      <c r="E1712" s="15"/>
    </row>
    <row r="1713" ht="15.75" customHeight="1">
      <c r="E1713" s="15"/>
    </row>
    <row r="1714" ht="15.75" customHeight="1">
      <c r="E1714" s="15"/>
    </row>
    <row r="1715" ht="15.75" customHeight="1">
      <c r="E1715" s="15"/>
    </row>
    <row r="1716" ht="15.75" customHeight="1">
      <c r="E1716" s="15"/>
    </row>
    <row r="1717" ht="15.75" customHeight="1">
      <c r="E1717" s="15"/>
    </row>
    <row r="1718" ht="15.75" customHeight="1">
      <c r="E1718" s="15"/>
    </row>
    <row r="1719" ht="15.75" customHeight="1">
      <c r="E1719" s="15"/>
    </row>
    <row r="1720" ht="15.75" customHeight="1">
      <c r="E1720" s="15"/>
    </row>
    <row r="1721" ht="15.75" customHeight="1">
      <c r="E1721" s="15"/>
    </row>
    <row r="1722" ht="15.75" customHeight="1">
      <c r="E1722" s="15"/>
    </row>
    <row r="1723" ht="15.75" customHeight="1">
      <c r="E1723" s="15"/>
    </row>
    <row r="1724" ht="15.75" customHeight="1">
      <c r="E1724" s="15"/>
    </row>
    <row r="1725" ht="15.75" customHeight="1">
      <c r="E1725" s="15"/>
    </row>
    <row r="1726" ht="15.75" customHeight="1">
      <c r="E1726" s="15"/>
    </row>
    <row r="1727" ht="15.75" customHeight="1">
      <c r="E1727" s="15"/>
    </row>
    <row r="1728" ht="15.75" customHeight="1">
      <c r="E1728" s="15"/>
    </row>
    <row r="1729" ht="15.75" customHeight="1">
      <c r="E1729" s="15"/>
    </row>
    <row r="1730" ht="15.75" customHeight="1">
      <c r="E1730" s="15"/>
    </row>
    <row r="1731" ht="15.75" customHeight="1">
      <c r="E1731" s="15"/>
    </row>
    <row r="1732" ht="15.75" customHeight="1">
      <c r="E1732" s="15"/>
    </row>
    <row r="1733" ht="15.75" customHeight="1">
      <c r="E1733" s="15"/>
    </row>
    <row r="1734" ht="15.75" customHeight="1">
      <c r="E1734" s="15"/>
    </row>
    <row r="1735" ht="15.75" customHeight="1">
      <c r="E1735" s="15"/>
    </row>
    <row r="1736" ht="15.75" customHeight="1">
      <c r="E1736" s="15"/>
    </row>
    <row r="1737" ht="15.75" customHeight="1">
      <c r="E1737" s="15"/>
    </row>
    <row r="1738" ht="15.75" customHeight="1">
      <c r="E1738" s="15"/>
    </row>
    <row r="1739" ht="15.75" customHeight="1">
      <c r="E1739" s="15"/>
    </row>
    <row r="1740" ht="15.75" customHeight="1">
      <c r="E1740" s="15"/>
    </row>
    <row r="1741" ht="15.75" customHeight="1">
      <c r="E1741" s="15"/>
    </row>
    <row r="1742" ht="15.75" customHeight="1">
      <c r="E1742" s="15"/>
    </row>
    <row r="1743" ht="15.75" customHeight="1">
      <c r="E1743" s="15"/>
    </row>
    <row r="1744" ht="15.75" customHeight="1">
      <c r="E1744" s="15"/>
    </row>
    <row r="1745" ht="15.75" customHeight="1">
      <c r="E1745" s="15"/>
    </row>
    <row r="1746" ht="15.75" customHeight="1">
      <c r="E1746" s="15"/>
    </row>
    <row r="1747" ht="15.75" customHeight="1">
      <c r="E1747" s="15"/>
    </row>
    <row r="1748" ht="15.75" customHeight="1">
      <c r="E1748" s="15"/>
    </row>
    <row r="1749" ht="15.75" customHeight="1">
      <c r="E1749" s="15"/>
    </row>
    <row r="1750" ht="15.75" customHeight="1">
      <c r="E1750" s="15"/>
    </row>
    <row r="1751" ht="15.75" customHeight="1">
      <c r="E1751" s="15"/>
    </row>
    <row r="1752" ht="15.75" customHeight="1">
      <c r="E1752" s="15"/>
    </row>
    <row r="1753" ht="15.75" customHeight="1">
      <c r="E1753" s="15"/>
    </row>
    <row r="1754" ht="15.75" customHeight="1">
      <c r="E1754" s="15"/>
    </row>
    <row r="1755" ht="15.75" customHeight="1">
      <c r="E1755" s="15"/>
    </row>
    <row r="1756" ht="15.75" customHeight="1">
      <c r="E1756" s="15"/>
    </row>
    <row r="1757" ht="15.75" customHeight="1">
      <c r="E1757" s="15"/>
    </row>
    <row r="1758" ht="15.75" customHeight="1">
      <c r="E1758" s="15"/>
    </row>
    <row r="1759" ht="15.75" customHeight="1">
      <c r="E1759" s="15"/>
    </row>
    <row r="1760" ht="15.75" customHeight="1">
      <c r="E1760" s="15"/>
    </row>
    <row r="1761" ht="15.75" customHeight="1">
      <c r="E1761" s="15"/>
    </row>
    <row r="1762" ht="15.75" customHeight="1">
      <c r="E1762" s="15"/>
    </row>
    <row r="1763" ht="15.75" customHeight="1">
      <c r="E1763" s="15"/>
    </row>
    <row r="1764" ht="15.75" customHeight="1">
      <c r="E1764" s="15"/>
    </row>
    <row r="1765" ht="15.75" customHeight="1">
      <c r="E1765" s="15"/>
    </row>
    <row r="1766" ht="15.75" customHeight="1">
      <c r="E1766" s="15"/>
    </row>
    <row r="1767" ht="15.75" customHeight="1">
      <c r="E1767" s="15"/>
    </row>
    <row r="1768" ht="15.75" customHeight="1">
      <c r="E1768" s="15"/>
    </row>
    <row r="1769" ht="15.75" customHeight="1">
      <c r="E1769" s="15"/>
    </row>
    <row r="1770" ht="15.75" customHeight="1">
      <c r="E1770" s="15"/>
    </row>
    <row r="1771" ht="15.75" customHeight="1">
      <c r="E1771" s="15"/>
    </row>
    <row r="1772" ht="15.75" customHeight="1">
      <c r="E1772" s="15"/>
    </row>
    <row r="1773" ht="15.75" customHeight="1">
      <c r="E1773" s="15"/>
    </row>
    <row r="1774" ht="15.75" customHeight="1">
      <c r="E1774" s="15"/>
    </row>
    <row r="1775" ht="15.75" customHeight="1">
      <c r="E1775" s="15"/>
    </row>
    <row r="1776" ht="15.75" customHeight="1">
      <c r="E1776" s="15"/>
    </row>
    <row r="1777" ht="15.75" customHeight="1">
      <c r="E1777" s="15"/>
    </row>
    <row r="1778" ht="15.75" customHeight="1">
      <c r="E1778" s="15"/>
    </row>
    <row r="1779" ht="15.75" customHeight="1">
      <c r="E1779" s="15"/>
    </row>
    <row r="1780" ht="15.75" customHeight="1">
      <c r="E1780" s="15"/>
    </row>
    <row r="1781" ht="15.75" customHeight="1">
      <c r="E1781" s="15"/>
    </row>
    <row r="1782" ht="15.75" customHeight="1">
      <c r="E1782" s="15"/>
    </row>
    <row r="1783" ht="15.75" customHeight="1">
      <c r="E1783" s="15"/>
    </row>
    <row r="1784" ht="15.75" customHeight="1">
      <c r="E1784" s="15"/>
    </row>
    <row r="1785" ht="15.75" customHeight="1">
      <c r="E1785" s="15"/>
    </row>
    <row r="1786" ht="15.75" customHeight="1">
      <c r="E1786" s="15"/>
    </row>
    <row r="1787" ht="15.75" customHeight="1">
      <c r="E1787" s="15"/>
    </row>
    <row r="1788" ht="15.75" customHeight="1">
      <c r="E1788" s="15"/>
    </row>
    <row r="1789" ht="15.75" customHeight="1">
      <c r="E1789" s="15"/>
    </row>
    <row r="1790" ht="15.75" customHeight="1">
      <c r="E1790" s="15"/>
    </row>
    <row r="1791" ht="15.75" customHeight="1">
      <c r="E1791" s="15"/>
    </row>
    <row r="1792" ht="15.75" customHeight="1">
      <c r="E1792" s="15"/>
    </row>
    <row r="1793" ht="15.75" customHeight="1">
      <c r="E1793" s="15"/>
    </row>
    <row r="1794" ht="15.75" customHeight="1">
      <c r="E1794" s="15"/>
    </row>
    <row r="1795" ht="15.75" customHeight="1">
      <c r="E1795" s="15"/>
    </row>
    <row r="1796" ht="15.75" customHeight="1">
      <c r="E1796" s="15"/>
    </row>
    <row r="1797" ht="15.75" customHeight="1">
      <c r="E1797" s="15"/>
    </row>
    <row r="1798" ht="15.75" customHeight="1">
      <c r="E1798" s="15"/>
    </row>
    <row r="1799" ht="15.75" customHeight="1">
      <c r="E1799" s="15"/>
    </row>
    <row r="1800" ht="15.75" customHeight="1">
      <c r="E1800" s="15"/>
    </row>
    <row r="1801" ht="15.75" customHeight="1">
      <c r="E1801" s="15"/>
    </row>
    <row r="1802" ht="15.75" customHeight="1">
      <c r="E1802" s="15"/>
    </row>
    <row r="1803" ht="15.75" customHeight="1">
      <c r="E1803" s="15"/>
    </row>
    <row r="1804" ht="15.75" customHeight="1">
      <c r="E1804" s="15"/>
    </row>
    <row r="1805" ht="15.75" customHeight="1">
      <c r="E1805" s="15"/>
    </row>
    <row r="1806" ht="15.75" customHeight="1">
      <c r="E1806" s="15"/>
    </row>
    <row r="1807" ht="15.75" customHeight="1">
      <c r="E1807" s="15"/>
    </row>
    <row r="1808" ht="15.75" customHeight="1">
      <c r="E1808" s="15"/>
    </row>
    <row r="1809" ht="15.75" customHeight="1">
      <c r="E1809" s="15"/>
    </row>
    <row r="1810" ht="15.75" customHeight="1">
      <c r="E1810" s="15"/>
    </row>
    <row r="1811" ht="15.75" customHeight="1">
      <c r="E1811" s="15"/>
    </row>
    <row r="1812" ht="15.75" customHeight="1">
      <c r="E1812" s="15"/>
    </row>
    <row r="1813" ht="15.75" customHeight="1">
      <c r="E1813" s="15"/>
    </row>
    <row r="1814" ht="15.75" customHeight="1">
      <c r="E1814" s="15"/>
    </row>
    <row r="1815" ht="15.75" customHeight="1">
      <c r="E1815" s="15"/>
    </row>
    <row r="1816" ht="15.75" customHeight="1">
      <c r="E1816" s="15"/>
    </row>
    <row r="1817" ht="15.75" customHeight="1">
      <c r="E1817" s="15"/>
    </row>
    <row r="1818" ht="15.75" customHeight="1">
      <c r="E1818" s="15"/>
    </row>
    <row r="1819" ht="15.75" customHeight="1">
      <c r="E1819" s="15"/>
    </row>
    <row r="1820" ht="15.75" customHeight="1">
      <c r="E1820" s="15"/>
    </row>
    <row r="1821" ht="15.75" customHeight="1">
      <c r="E1821" s="15"/>
    </row>
    <row r="1822" ht="15.75" customHeight="1">
      <c r="E1822" s="15"/>
    </row>
    <row r="1823" ht="15.75" customHeight="1">
      <c r="E1823" s="15"/>
    </row>
    <row r="1824" ht="15.75" customHeight="1">
      <c r="E1824" s="15"/>
    </row>
    <row r="1825" ht="15.75" customHeight="1">
      <c r="E1825" s="15"/>
    </row>
    <row r="1826" ht="15.75" customHeight="1">
      <c r="E1826" s="15"/>
    </row>
    <row r="1827" ht="15.75" customHeight="1">
      <c r="E1827" s="15"/>
    </row>
    <row r="1828" ht="15.75" customHeight="1">
      <c r="E1828" s="15"/>
    </row>
    <row r="1829" ht="15.75" customHeight="1">
      <c r="E1829" s="15"/>
    </row>
    <row r="1830" ht="15.75" customHeight="1">
      <c r="E1830" s="15"/>
    </row>
    <row r="1831" ht="15.75" customHeight="1">
      <c r="E1831" s="15"/>
    </row>
    <row r="1832" ht="15.75" customHeight="1">
      <c r="E1832" s="15"/>
    </row>
    <row r="1833" ht="15.75" customHeight="1">
      <c r="E1833" s="15"/>
    </row>
    <row r="1834" ht="15.75" customHeight="1">
      <c r="E1834" s="15"/>
    </row>
    <row r="1835" ht="15.75" customHeight="1">
      <c r="E1835" s="15"/>
    </row>
    <row r="1836" ht="15.75" customHeight="1">
      <c r="E1836" s="15"/>
    </row>
    <row r="1837" ht="15.75" customHeight="1">
      <c r="E1837" s="15"/>
    </row>
    <row r="1838" ht="15.75" customHeight="1">
      <c r="E1838" s="15"/>
    </row>
    <row r="1839" ht="15.75" customHeight="1">
      <c r="E1839" s="15"/>
    </row>
    <row r="1840" ht="15.75" customHeight="1">
      <c r="E1840" s="15"/>
    </row>
    <row r="1841" ht="15.75" customHeight="1">
      <c r="E1841" s="15"/>
    </row>
    <row r="1842" ht="15.75" customHeight="1">
      <c r="E1842" s="15"/>
    </row>
    <row r="1843" ht="15.75" customHeight="1">
      <c r="E1843" s="15"/>
    </row>
    <row r="1844" ht="15.75" customHeight="1">
      <c r="E1844" s="15"/>
    </row>
    <row r="1845" ht="15.75" customHeight="1">
      <c r="E1845" s="15"/>
    </row>
    <row r="1846" ht="15.75" customHeight="1">
      <c r="E1846" s="15"/>
    </row>
    <row r="1847" ht="15.75" customHeight="1">
      <c r="E1847" s="15"/>
    </row>
    <row r="1848" ht="15.75" customHeight="1">
      <c r="E1848" s="15"/>
    </row>
    <row r="1849" ht="15.75" customHeight="1">
      <c r="E1849" s="15"/>
    </row>
    <row r="1850" ht="15.75" customHeight="1">
      <c r="E1850" s="15"/>
    </row>
    <row r="1851" ht="15.75" customHeight="1">
      <c r="E1851" s="15"/>
    </row>
    <row r="1852" ht="15.75" customHeight="1">
      <c r="E1852" s="15"/>
    </row>
    <row r="1853" ht="15.75" customHeight="1">
      <c r="E1853" s="15"/>
    </row>
    <row r="1854" ht="15.75" customHeight="1">
      <c r="E1854" s="15"/>
    </row>
    <row r="1855" ht="15.75" customHeight="1">
      <c r="E1855" s="15"/>
    </row>
    <row r="1856" ht="15.75" customHeight="1">
      <c r="E1856" s="15"/>
    </row>
    <row r="1857" ht="15.75" customHeight="1">
      <c r="E1857" s="15"/>
    </row>
    <row r="1858" ht="15.75" customHeight="1">
      <c r="E1858" s="15"/>
    </row>
    <row r="1859" ht="15.75" customHeight="1">
      <c r="E1859" s="15"/>
    </row>
    <row r="1860" ht="15.75" customHeight="1">
      <c r="E1860" s="15"/>
    </row>
    <row r="1861" ht="15.75" customHeight="1">
      <c r="E1861" s="15"/>
    </row>
    <row r="1862" ht="15.75" customHeight="1">
      <c r="E1862" s="15"/>
    </row>
    <row r="1863" ht="15.75" customHeight="1">
      <c r="E1863" s="15"/>
    </row>
    <row r="1864" ht="15.75" customHeight="1">
      <c r="E1864" s="15"/>
    </row>
    <row r="1865" ht="15.75" customHeight="1">
      <c r="E1865" s="15"/>
    </row>
    <row r="1866" ht="15.75" customHeight="1">
      <c r="E1866" s="15"/>
    </row>
    <row r="1867" ht="15.75" customHeight="1">
      <c r="E1867" s="15"/>
    </row>
    <row r="1868" ht="15.75" customHeight="1">
      <c r="E1868" s="15"/>
    </row>
    <row r="1869" ht="15.75" customHeight="1">
      <c r="E1869" s="15"/>
    </row>
    <row r="1870" ht="15.75" customHeight="1">
      <c r="E1870" s="15"/>
    </row>
    <row r="1871" ht="15.75" customHeight="1">
      <c r="E1871" s="15"/>
    </row>
    <row r="1872" ht="15.75" customHeight="1">
      <c r="E1872" s="15"/>
    </row>
    <row r="1873" ht="15.75" customHeight="1">
      <c r="E1873" s="15"/>
    </row>
    <row r="1874" ht="15.75" customHeight="1">
      <c r="E1874" s="15"/>
    </row>
    <row r="1875" ht="15.75" customHeight="1">
      <c r="E1875" s="15"/>
    </row>
    <row r="1876" ht="15.75" customHeight="1">
      <c r="E1876" s="15"/>
    </row>
    <row r="1877" ht="15.75" customHeight="1">
      <c r="E1877" s="15"/>
    </row>
    <row r="1878" ht="15.75" customHeight="1">
      <c r="E1878" s="15"/>
    </row>
    <row r="1879" ht="15.75" customHeight="1">
      <c r="E1879" s="15"/>
    </row>
    <row r="1880" ht="15.75" customHeight="1">
      <c r="E1880" s="15"/>
    </row>
    <row r="1881" ht="15.75" customHeight="1">
      <c r="E1881" s="15"/>
    </row>
    <row r="1882" ht="15.75" customHeight="1">
      <c r="E1882" s="15"/>
    </row>
    <row r="1883" ht="15.75" customHeight="1">
      <c r="E1883" s="15"/>
    </row>
    <row r="1884" ht="15.75" customHeight="1">
      <c r="E1884" s="15"/>
    </row>
    <row r="1885" ht="15.75" customHeight="1">
      <c r="E1885" s="15"/>
    </row>
    <row r="1886" ht="15.75" customHeight="1">
      <c r="E1886" s="15"/>
    </row>
    <row r="1887" ht="15.75" customHeight="1">
      <c r="E1887" s="15"/>
    </row>
    <row r="1888" ht="15.75" customHeight="1">
      <c r="E1888" s="15"/>
    </row>
    <row r="1889" ht="15.75" customHeight="1">
      <c r="E1889" s="15"/>
    </row>
    <row r="1890" ht="15.75" customHeight="1">
      <c r="E1890" s="15"/>
    </row>
    <row r="1891" ht="15.75" customHeight="1">
      <c r="E1891" s="15"/>
    </row>
    <row r="1892" ht="15.75" customHeight="1">
      <c r="E1892" s="15"/>
    </row>
    <row r="1893" ht="15.75" customHeight="1">
      <c r="E1893" s="15"/>
    </row>
    <row r="1894" ht="15.75" customHeight="1">
      <c r="E1894" s="15"/>
    </row>
    <row r="1895" ht="15.75" customHeight="1">
      <c r="E1895" s="15"/>
    </row>
    <row r="1896" ht="15.75" customHeight="1">
      <c r="E1896" s="15"/>
    </row>
    <row r="1897" ht="15.75" customHeight="1">
      <c r="E1897" s="15"/>
    </row>
    <row r="1898" ht="15.75" customHeight="1">
      <c r="E1898" s="15"/>
    </row>
    <row r="1899" ht="15.75" customHeight="1">
      <c r="E1899" s="15"/>
    </row>
    <row r="1900" ht="15.75" customHeight="1">
      <c r="E1900" s="15"/>
    </row>
    <row r="1901" ht="15.75" customHeight="1">
      <c r="E1901" s="15"/>
    </row>
    <row r="1902" ht="15.75" customHeight="1">
      <c r="E1902" s="15"/>
    </row>
    <row r="1903" ht="15.75" customHeight="1">
      <c r="E1903" s="15"/>
    </row>
    <row r="1904" ht="15.75" customHeight="1">
      <c r="E1904" s="15"/>
    </row>
    <row r="1905" ht="15.75" customHeight="1">
      <c r="E1905" s="15"/>
    </row>
    <row r="1906" ht="15.75" customHeight="1">
      <c r="E1906" s="15"/>
    </row>
    <row r="1907" ht="15.75" customHeight="1">
      <c r="E1907" s="15"/>
    </row>
    <row r="1908" ht="15.75" customHeight="1">
      <c r="E1908" s="15"/>
    </row>
    <row r="1909" ht="15.75" customHeight="1">
      <c r="E1909" s="15"/>
    </row>
    <row r="1910" ht="15.75" customHeight="1">
      <c r="E1910" s="15"/>
    </row>
    <row r="1911" ht="15.75" customHeight="1">
      <c r="E1911" s="15"/>
    </row>
    <row r="1912" ht="15.75" customHeight="1">
      <c r="E1912" s="15"/>
    </row>
    <row r="1913" ht="15.75" customHeight="1">
      <c r="E1913" s="15"/>
    </row>
    <row r="1914" ht="15.75" customHeight="1">
      <c r="E1914" s="15"/>
    </row>
    <row r="1915" ht="15.75" customHeight="1">
      <c r="E1915" s="15"/>
    </row>
    <row r="1916" ht="15.75" customHeight="1">
      <c r="E1916" s="15"/>
    </row>
    <row r="1917" ht="15.75" customHeight="1">
      <c r="E1917" s="15"/>
    </row>
    <row r="1918" ht="15.75" customHeight="1">
      <c r="E1918" s="15"/>
    </row>
    <row r="1919" ht="15.75" customHeight="1">
      <c r="E1919" s="15"/>
    </row>
    <row r="1920" ht="15.75" customHeight="1">
      <c r="E1920" s="15"/>
    </row>
    <row r="1921" ht="15.75" customHeight="1">
      <c r="E1921" s="15"/>
    </row>
    <row r="1922" ht="15.75" customHeight="1">
      <c r="E1922" s="15"/>
    </row>
    <row r="1923" ht="15.75" customHeight="1">
      <c r="E1923" s="15"/>
    </row>
    <row r="1924" ht="15.75" customHeight="1">
      <c r="E1924" s="15"/>
    </row>
    <row r="1925" ht="15.75" customHeight="1">
      <c r="E1925" s="15"/>
    </row>
    <row r="1926" ht="15.75" customHeight="1">
      <c r="E1926" s="15"/>
    </row>
    <row r="1927" ht="15.75" customHeight="1">
      <c r="E1927" s="15"/>
    </row>
    <row r="1928" ht="15.75" customHeight="1">
      <c r="E1928" s="15"/>
    </row>
    <row r="1929" ht="15.75" customHeight="1">
      <c r="E1929" s="15"/>
    </row>
    <row r="1930" ht="15.75" customHeight="1">
      <c r="E1930" s="15"/>
    </row>
    <row r="1931" ht="15.75" customHeight="1">
      <c r="E1931" s="15"/>
    </row>
    <row r="1932" ht="15.75" customHeight="1">
      <c r="E1932" s="15"/>
    </row>
    <row r="1933" ht="15.75" customHeight="1">
      <c r="E1933" s="15"/>
    </row>
    <row r="1934" ht="15.75" customHeight="1">
      <c r="E1934" s="15"/>
    </row>
    <row r="1935" ht="15.75" customHeight="1">
      <c r="E1935" s="15"/>
    </row>
    <row r="1936" ht="15.75" customHeight="1">
      <c r="E1936" s="15"/>
    </row>
    <row r="1937" ht="15.75" customHeight="1">
      <c r="E1937" s="15"/>
    </row>
    <row r="1938" ht="15.75" customHeight="1">
      <c r="E1938" s="15"/>
    </row>
    <row r="1939" ht="15.75" customHeight="1">
      <c r="E1939" s="15"/>
    </row>
    <row r="1940" ht="15.75" customHeight="1">
      <c r="E1940" s="15"/>
    </row>
    <row r="1941" ht="15.75" customHeight="1">
      <c r="E1941" s="15"/>
    </row>
    <row r="1942" ht="15.75" customHeight="1">
      <c r="E1942" s="15"/>
    </row>
    <row r="1943" ht="15.75" customHeight="1">
      <c r="E1943" s="15"/>
    </row>
    <row r="1944" ht="15.75" customHeight="1">
      <c r="E1944" s="15"/>
    </row>
    <row r="1945" ht="15.75" customHeight="1">
      <c r="E1945" s="15"/>
    </row>
    <row r="1946" ht="15.75" customHeight="1">
      <c r="E1946" s="15"/>
    </row>
    <row r="1947" ht="15.75" customHeight="1">
      <c r="E1947" s="15"/>
    </row>
    <row r="1948" ht="15.75" customHeight="1">
      <c r="E1948" s="15"/>
    </row>
    <row r="1949" ht="15.75" customHeight="1">
      <c r="E1949" s="15"/>
    </row>
    <row r="1950" ht="15.75" customHeight="1">
      <c r="E1950" s="15"/>
    </row>
    <row r="1951" ht="15.75" customHeight="1">
      <c r="E1951" s="15"/>
    </row>
    <row r="1952" ht="15.75" customHeight="1">
      <c r="E1952" s="15"/>
    </row>
    <row r="1953" ht="15.75" customHeight="1">
      <c r="E1953" s="15"/>
    </row>
    <row r="1954" ht="15.75" customHeight="1">
      <c r="E1954" s="15"/>
    </row>
    <row r="1955" ht="15.75" customHeight="1">
      <c r="E1955" s="15"/>
    </row>
    <row r="1956" ht="15.75" customHeight="1">
      <c r="E1956" s="15"/>
    </row>
    <row r="1957" ht="15.75" customHeight="1">
      <c r="E1957" s="15"/>
    </row>
    <row r="1958" ht="15.75" customHeight="1">
      <c r="E1958" s="15"/>
    </row>
    <row r="1959" ht="15.75" customHeight="1">
      <c r="E1959" s="15"/>
    </row>
    <row r="1960" ht="15.75" customHeight="1">
      <c r="E1960" s="15"/>
    </row>
    <row r="1961" ht="15.75" customHeight="1">
      <c r="E1961" s="15"/>
    </row>
    <row r="1962" ht="15.75" customHeight="1">
      <c r="E1962" s="15"/>
    </row>
    <row r="1963" ht="15.75" customHeight="1">
      <c r="E1963" s="15"/>
    </row>
    <row r="1964" ht="15.75" customHeight="1">
      <c r="E1964" s="15"/>
    </row>
    <row r="1965" ht="15.75" customHeight="1">
      <c r="E1965" s="15"/>
    </row>
    <row r="1966" ht="15.75" customHeight="1">
      <c r="E1966" s="15"/>
    </row>
    <row r="1967" ht="15.75" customHeight="1">
      <c r="E1967" s="15"/>
    </row>
    <row r="1968" ht="15.75" customHeight="1">
      <c r="E1968" s="15"/>
    </row>
    <row r="1969" ht="15.75" customHeight="1">
      <c r="E1969" s="15"/>
    </row>
    <row r="1970" ht="15.75" customHeight="1">
      <c r="E1970" s="15"/>
    </row>
    <row r="1971" ht="15.75" customHeight="1">
      <c r="E1971" s="15"/>
    </row>
    <row r="1972" ht="15.75" customHeight="1">
      <c r="E1972" s="15"/>
    </row>
    <row r="1973" ht="15.75" customHeight="1">
      <c r="E1973" s="15"/>
    </row>
    <row r="1974" ht="15.75" customHeight="1">
      <c r="E1974" s="15"/>
    </row>
    <row r="1975" ht="15.75" customHeight="1">
      <c r="E1975" s="15"/>
    </row>
    <row r="1976" ht="15.75" customHeight="1">
      <c r="E1976" s="15"/>
    </row>
    <row r="1977" ht="15.75" customHeight="1">
      <c r="E1977" s="15"/>
    </row>
    <row r="1978" ht="15.75" customHeight="1">
      <c r="E1978" s="15"/>
    </row>
    <row r="1979" ht="15.75" customHeight="1">
      <c r="E1979" s="15"/>
    </row>
    <row r="1980" ht="15.75" customHeight="1">
      <c r="E1980" s="15"/>
    </row>
    <row r="1981" ht="15.75" customHeight="1">
      <c r="E1981" s="15"/>
    </row>
    <row r="1982" ht="15.75" customHeight="1">
      <c r="E1982" s="15"/>
    </row>
    <row r="1983" ht="15.75" customHeight="1">
      <c r="E1983" s="15"/>
    </row>
    <row r="1984" ht="15.75" customHeight="1">
      <c r="E1984" s="15"/>
    </row>
    <row r="1985" ht="15.75" customHeight="1">
      <c r="E1985" s="15"/>
    </row>
    <row r="1986" ht="15.75" customHeight="1">
      <c r="E1986" s="15"/>
    </row>
    <row r="1987" ht="15.75" customHeight="1">
      <c r="E1987" s="15"/>
    </row>
    <row r="1988" ht="15.75" customHeight="1">
      <c r="E1988" s="15"/>
    </row>
    <row r="1989" ht="15.75" customHeight="1">
      <c r="E1989" s="15"/>
    </row>
    <row r="1990" ht="15.75" customHeight="1">
      <c r="E1990" s="15"/>
    </row>
    <row r="1991" ht="15.75" customHeight="1">
      <c r="E1991" s="15"/>
    </row>
    <row r="1992" ht="15.75" customHeight="1">
      <c r="E1992" s="15"/>
    </row>
    <row r="1993" ht="15.75" customHeight="1">
      <c r="E1993" s="15"/>
    </row>
    <row r="1994" ht="15.75" customHeight="1">
      <c r="E1994" s="15"/>
    </row>
    <row r="1995" ht="15.75" customHeight="1">
      <c r="E1995" s="15"/>
    </row>
    <row r="1996" ht="15.75" customHeight="1">
      <c r="E1996" s="15"/>
    </row>
    <row r="1997" ht="15.75" customHeight="1">
      <c r="E1997" s="15"/>
    </row>
    <row r="1998" ht="15.75" customHeight="1">
      <c r="E1998" s="15"/>
    </row>
    <row r="1999" ht="15.75" customHeight="1">
      <c r="E1999" s="15"/>
    </row>
    <row r="2000" ht="15.75" customHeight="1">
      <c r="E2000" s="15"/>
    </row>
  </sheetData>
  <autoFilter ref="$A$1:$Z$1000">
    <filterColumn colId="0">
      <filters>
        <filter val="Toyota"/>
      </filters>
    </filterColumn>
  </autoFilter>
  <conditionalFormatting sqref="H2:H156">
    <cfRule type="containsText" dxfId="4" priority="1" operator="containsText" text="GOOD">
      <formula>NOT(ISERROR(SEARCH(("GOOD"),(H2))))</formula>
    </cfRule>
  </conditionalFormatting>
  <conditionalFormatting sqref="H2:H156">
    <cfRule type="containsText" dxfId="5" priority="2" operator="containsText" text="POOR">
      <formula>NOT(ISERROR(SEARCH(("POOR"),(H2))))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5.43"/>
    <col customWidth="1" min="3" max="3" width="20.43"/>
    <col customWidth="1" min="4" max="4" width="12.71"/>
    <col customWidth="1" min="5" max="5" width="19.43"/>
    <col customWidth="1" min="6" max="6" width="14.0"/>
    <col customWidth="1" min="7" max="7" width="17.43"/>
    <col customWidth="1" min="8" max="8" width="13.14"/>
    <col customWidth="1" min="9" max="9" width="14.0"/>
    <col customWidth="1" min="10" max="10" width="11.86"/>
    <col customWidth="1" min="11" max="11" width="14.86"/>
    <col customWidth="1" min="12" max="12" width="14.71"/>
    <col customWidth="1" min="13" max="13" width="17.86"/>
    <col customWidth="1" hidden="1" min="14" max="14" width="13.14"/>
    <col customWidth="1" hidden="1" min="15" max="15" width="11.0"/>
    <col customWidth="1" hidden="1" min="16" max="16" width="6.43"/>
    <col customWidth="1" hidden="1" min="17" max="17" width="7.0"/>
    <col customWidth="1" hidden="1" min="18" max="18" width="12.29"/>
    <col customWidth="1" hidden="1" min="19" max="19" width="13.43"/>
    <col customWidth="1" min="20" max="22" width="9.14"/>
    <col customWidth="1" min="23" max="23" width="11.29"/>
    <col customWidth="1" min="24" max="24" width="7.43"/>
    <col customWidth="1" min="25" max="25" width="11.43"/>
    <col customWidth="1" min="26" max="26" width="7.86"/>
  </cols>
  <sheetData>
    <row r="1">
      <c r="A1" s="16" t="s">
        <v>0</v>
      </c>
      <c r="B1" s="16" t="s">
        <v>1</v>
      </c>
      <c r="C1" s="16" t="s">
        <v>2</v>
      </c>
      <c r="D1" s="17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17</v>
      </c>
      <c r="O1" s="16" t="s">
        <v>13</v>
      </c>
      <c r="P1" s="16" t="s">
        <v>14</v>
      </c>
      <c r="Q1" s="16" t="s">
        <v>15</v>
      </c>
      <c r="R1" s="16" t="s">
        <v>16</v>
      </c>
      <c r="S1" s="16" t="s">
        <v>18</v>
      </c>
      <c r="T1" s="3"/>
      <c r="U1" s="3"/>
      <c r="V1" s="3"/>
      <c r="W1" s="3"/>
      <c r="X1" s="3"/>
      <c r="Y1" s="3"/>
      <c r="Z1" s="3"/>
    </row>
    <row r="2" hidden="1">
      <c r="A2" s="18" t="s">
        <v>19</v>
      </c>
      <c r="B2" s="19" t="s">
        <v>20</v>
      </c>
      <c r="C2" s="21">
        <v>16919.0</v>
      </c>
      <c r="D2" s="22">
        <v>21500.0</v>
      </c>
      <c r="E2" s="22">
        <v>16360.0</v>
      </c>
      <c r="F2" s="23">
        <f t="shared" ref="F2:F156" si="1">SUM(E2/D2)</f>
        <v>0.7609302326</v>
      </c>
      <c r="G2" s="23" t="str">
        <f t="shared" ref="G2:G156" si="2">IF(F2&gt;69%, "GOOD", "POOR")</f>
        <v>GOOD</v>
      </c>
      <c r="H2" s="20">
        <v>1.8</v>
      </c>
      <c r="I2" s="20">
        <v>140.0</v>
      </c>
      <c r="J2" s="20" t="str">
        <f t="array" ref="J2">IFS(I2&gt;299,"High HP",I2&gt;99,"Medium HP",I2&lt;100,"Low HP")</f>
        <v>Medium HP</v>
      </c>
      <c r="K2" s="20" t="s">
        <v>21</v>
      </c>
      <c r="L2" s="20">
        <v>28.0</v>
      </c>
      <c r="M2" s="20">
        <v>58.28014952</v>
      </c>
      <c r="N2" s="20">
        <v>13.2</v>
      </c>
      <c r="O2" s="20">
        <v>101.2</v>
      </c>
      <c r="P2" s="20">
        <v>67.3</v>
      </c>
      <c r="Q2" s="20">
        <v>172.4</v>
      </c>
      <c r="R2" s="20">
        <v>2.639</v>
      </c>
      <c r="S2" s="24">
        <v>40941.0</v>
      </c>
    </row>
    <row r="3" hidden="1">
      <c r="A3" s="25" t="s">
        <v>19</v>
      </c>
      <c r="B3" s="26" t="s">
        <v>22</v>
      </c>
      <c r="C3" s="28">
        <v>39384.0</v>
      </c>
      <c r="D3" s="29">
        <v>28400.0</v>
      </c>
      <c r="E3" s="29">
        <v>19875.0</v>
      </c>
      <c r="F3" s="30">
        <f t="shared" si="1"/>
        <v>0.6998239437</v>
      </c>
      <c r="G3" s="30" t="str">
        <f t="shared" si="2"/>
        <v>GOOD</v>
      </c>
      <c r="H3" s="27">
        <v>3.2</v>
      </c>
      <c r="I3" s="27">
        <v>225.0</v>
      </c>
      <c r="J3" s="27" t="str">
        <f t="array" ref="J3">IFS(I3&gt;299,"High HP",I3&gt;99,"Medium HP",I3&lt;100,"Low HP")</f>
        <v>Medium HP</v>
      </c>
      <c r="K3" s="27" t="s">
        <v>21</v>
      </c>
      <c r="L3" s="27">
        <v>25.0</v>
      </c>
      <c r="M3" s="27">
        <v>91.37077766</v>
      </c>
      <c r="N3" s="27">
        <v>17.2</v>
      </c>
      <c r="O3" s="27">
        <v>108.1</v>
      </c>
      <c r="P3" s="27">
        <v>70.3</v>
      </c>
      <c r="Q3" s="27">
        <v>192.9</v>
      </c>
      <c r="R3" s="27">
        <v>3.517</v>
      </c>
      <c r="S3" s="31">
        <v>40697.0</v>
      </c>
    </row>
    <row r="4" hidden="1">
      <c r="A4" s="18" t="s">
        <v>19</v>
      </c>
      <c r="B4" s="19" t="s">
        <v>23</v>
      </c>
      <c r="C4" s="21">
        <v>8588.0</v>
      </c>
      <c r="D4" s="22">
        <v>42000.0</v>
      </c>
      <c r="E4" s="22">
        <v>29725.0</v>
      </c>
      <c r="F4" s="23">
        <f t="shared" si="1"/>
        <v>0.7077380952</v>
      </c>
      <c r="G4" s="23" t="str">
        <f t="shared" si="2"/>
        <v>GOOD</v>
      </c>
      <c r="H4" s="20">
        <v>3.5</v>
      </c>
      <c r="I4" s="20">
        <v>210.0</v>
      </c>
      <c r="J4" s="20" t="str">
        <f t="array" ref="J4">IFS(I4&gt;299,"High HP",I4&gt;99,"Medium HP",I4&lt;100,"Low HP")</f>
        <v>Medium HP</v>
      </c>
      <c r="K4" s="20" t="s">
        <v>21</v>
      </c>
      <c r="L4" s="20">
        <v>22.0</v>
      </c>
      <c r="M4" s="20">
        <v>91.38977933</v>
      </c>
      <c r="N4" s="20">
        <v>18.0</v>
      </c>
      <c r="O4" s="20">
        <v>114.6</v>
      </c>
      <c r="P4" s="20">
        <v>71.4</v>
      </c>
      <c r="Q4" s="20">
        <v>196.6</v>
      </c>
      <c r="R4" s="20">
        <v>3.85</v>
      </c>
      <c r="S4" s="24">
        <v>40612.0</v>
      </c>
    </row>
    <row r="5" hidden="1">
      <c r="A5" s="25" t="s">
        <v>24</v>
      </c>
      <c r="B5" s="26" t="s">
        <v>25</v>
      </c>
      <c r="C5" s="28">
        <v>20397.0</v>
      </c>
      <c r="D5" s="29">
        <v>23990.0</v>
      </c>
      <c r="E5" s="29">
        <v>22255.0</v>
      </c>
      <c r="F5" s="30">
        <f t="shared" si="1"/>
        <v>0.9276781992</v>
      </c>
      <c r="G5" s="30" t="str">
        <f t="shared" si="2"/>
        <v>GOOD</v>
      </c>
      <c r="H5" s="27">
        <v>1.8</v>
      </c>
      <c r="I5" s="27">
        <v>150.0</v>
      </c>
      <c r="J5" s="27" t="str">
        <f t="array" ref="J5">IFS(I5&gt;299,"High HP",I5&gt;99,"Medium HP",I5&lt;100,"Low HP")</f>
        <v>Medium HP</v>
      </c>
      <c r="K5" s="27" t="s">
        <v>21</v>
      </c>
      <c r="L5" s="27">
        <v>27.0</v>
      </c>
      <c r="M5" s="27">
        <v>62.7776392</v>
      </c>
      <c r="N5" s="27">
        <v>16.4</v>
      </c>
      <c r="O5" s="27">
        <v>102.6</v>
      </c>
      <c r="P5" s="27">
        <v>68.2</v>
      </c>
      <c r="Q5" s="27">
        <v>178.0</v>
      </c>
      <c r="R5" s="27">
        <v>2.998</v>
      </c>
      <c r="S5" s="31">
        <v>40824.0</v>
      </c>
      <c r="U5" s="3"/>
      <c r="W5" s="11"/>
    </row>
    <row r="6" hidden="1">
      <c r="A6" s="18" t="s">
        <v>24</v>
      </c>
      <c r="B6" s="19" t="s">
        <v>26</v>
      </c>
      <c r="C6" s="21">
        <v>18780.0</v>
      </c>
      <c r="D6" s="22">
        <v>33950.0</v>
      </c>
      <c r="E6" s="22">
        <v>23555.0</v>
      </c>
      <c r="F6" s="23">
        <f t="shared" si="1"/>
        <v>0.693814433</v>
      </c>
      <c r="G6" s="23" t="str">
        <f t="shared" si="2"/>
        <v>GOOD</v>
      </c>
      <c r="H6" s="20">
        <v>2.8</v>
      </c>
      <c r="I6" s="20">
        <v>200.0</v>
      </c>
      <c r="J6" s="20" t="str">
        <f t="array" ref="J6">IFS(I6&gt;299,"High HP",I6&gt;99,"Medium HP",I6&lt;100,"Low HP")</f>
        <v>Medium HP</v>
      </c>
      <c r="K6" s="20" t="s">
        <v>21</v>
      </c>
      <c r="L6" s="20">
        <v>22.0</v>
      </c>
      <c r="M6" s="20">
        <v>84.56510502</v>
      </c>
      <c r="N6" s="20">
        <v>18.5</v>
      </c>
      <c r="O6" s="20">
        <v>108.7</v>
      </c>
      <c r="P6" s="20">
        <v>76.1</v>
      </c>
      <c r="Q6" s="20">
        <v>192.0</v>
      </c>
      <c r="R6" s="20">
        <v>3.561</v>
      </c>
      <c r="S6" s="24">
        <v>40764.0</v>
      </c>
      <c r="W6" s="11"/>
    </row>
    <row r="7" hidden="1">
      <c r="A7" s="25" t="s">
        <v>24</v>
      </c>
      <c r="B7" s="26" t="s">
        <v>27</v>
      </c>
      <c r="C7" s="28">
        <v>1380.0</v>
      </c>
      <c r="D7" s="29">
        <v>62000.0</v>
      </c>
      <c r="E7" s="29">
        <v>39000.0</v>
      </c>
      <c r="F7" s="30">
        <f t="shared" si="1"/>
        <v>0.6290322581</v>
      </c>
      <c r="G7" s="30" t="str">
        <f t="shared" si="2"/>
        <v>POOR</v>
      </c>
      <c r="H7" s="27">
        <v>4.2</v>
      </c>
      <c r="I7" s="27">
        <v>310.0</v>
      </c>
      <c r="J7" s="27" t="str">
        <f t="array" ref="J7">IFS(I7&gt;299,"High HP",I7&gt;99,"Medium HP",I7&lt;100,"Low HP")</f>
        <v>High HP</v>
      </c>
      <c r="K7" s="27" t="s">
        <v>21</v>
      </c>
      <c r="L7" s="27">
        <v>21.0</v>
      </c>
      <c r="M7" s="27">
        <v>134.6568582</v>
      </c>
      <c r="N7" s="27">
        <v>23.7</v>
      </c>
      <c r="O7" s="27">
        <v>113.0</v>
      </c>
      <c r="P7" s="27">
        <v>74.0</v>
      </c>
      <c r="Q7" s="27">
        <v>198.2</v>
      </c>
      <c r="R7" s="27">
        <v>3.902</v>
      </c>
      <c r="S7" s="31">
        <v>40966.0</v>
      </c>
      <c r="W7" s="11"/>
    </row>
    <row r="8" hidden="1">
      <c r="A8" s="18" t="s">
        <v>28</v>
      </c>
      <c r="B8" s="19" t="s">
        <v>29</v>
      </c>
      <c r="C8" s="21">
        <v>19747.0</v>
      </c>
      <c r="D8" s="22">
        <v>26990.0</v>
      </c>
      <c r="E8" s="22">
        <v>24500.0</v>
      </c>
      <c r="F8" s="23">
        <f t="shared" si="1"/>
        <v>0.9077436087</v>
      </c>
      <c r="G8" s="23" t="str">
        <f t="shared" si="2"/>
        <v>GOOD</v>
      </c>
      <c r="H8" s="20">
        <v>2.5</v>
      </c>
      <c r="I8" s="20">
        <v>170.0</v>
      </c>
      <c r="J8" s="20" t="str">
        <f t="array" ref="J8">IFS(I8&gt;299,"High HP",I8&gt;99,"Medium HP",I8&lt;100,"Low HP")</f>
        <v>Medium HP</v>
      </c>
      <c r="K8" s="20" t="s">
        <v>21</v>
      </c>
      <c r="L8" s="20">
        <v>26.0</v>
      </c>
      <c r="M8" s="20">
        <v>71.19120671</v>
      </c>
      <c r="N8" s="20">
        <v>16.6</v>
      </c>
      <c r="O8" s="20">
        <v>107.3</v>
      </c>
      <c r="P8" s="20">
        <v>68.4</v>
      </c>
      <c r="Q8" s="20">
        <v>176.0</v>
      </c>
      <c r="R8" s="20">
        <v>3.179</v>
      </c>
      <c r="S8" s="24">
        <v>40722.0</v>
      </c>
      <c r="W8" s="11"/>
    </row>
    <row r="9" hidden="1">
      <c r="A9" s="25" t="s">
        <v>28</v>
      </c>
      <c r="B9" s="26" t="s">
        <v>30</v>
      </c>
      <c r="C9" s="28">
        <v>9231.0</v>
      </c>
      <c r="D9" s="29">
        <v>33400.0</v>
      </c>
      <c r="E9" s="29">
        <v>28675.0</v>
      </c>
      <c r="F9" s="30">
        <f t="shared" si="1"/>
        <v>0.8585329341</v>
      </c>
      <c r="G9" s="30" t="str">
        <f t="shared" si="2"/>
        <v>GOOD</v>
      </c>
      <c r="H9" s="27">
        <v>2.8</v>
      </c>
      <c r="I9" s="27">
        <v>193.0</v>
      </c>
      <c r="J9" s="27" t="str">
        <f t="array" ref="J9">IFS(I9&gt;299,"High HP",I9&gt;99,"Medium HP",I9&lt;100,"Low HP")</f>
        <v>Medium HP</v>
      </c>
      <c r="K9" s="27" t="s">
        <v>21</v>
      </c>
      <c r="L9" s="27">
        <v>24.0</v>
      </c>
      <c r="M9" s="27">
        <v>81.87706856</v>
      </c>
      <c r="N9" s="27">
        <v>16.6</v>
      </c>
      <c r="O9" s="27">
        <v>107.3</v>
      </c>
      <c r="P9" s="27">
        <v>68.5</v>
      </c>
      <c r="Q9" s="27">
        <v>176.0</v>
      </c>
      <c r="R9" s="27">
        <v>3.197</v>
      </c>
      <c r="S9" s="31">
        <v>40937.0</v>
      </c>
      <c r="W9" s="11"/>
    </row>
    <row r="10" hidden="1">
      <c r="A10" s="18" t="s">
        <v>28</v>
      </c>
      <c r="B10" s="19" t="s">
        <v>31</v>
      </c>
      <c r="C10" s="21">
        <v>17527.0</v>
      </c>
      <c r="D10" s="22">
        <v>38900.0</v>
      </c>
      <c r="E10" s="22">
        <v>36125.0</v>
      </c>
      <c r="F10" s="23">
        <f t="shared" si="1"/>
        <v>0.9286632391</v>
      </c>
      <c r="G10" s="23" t="str">
        <f t="shared" si="2"/>
        <v>GOOD</v>
      </c>
      <c r="H10" s="20">
        <v>2.8</v>
      </c>
      <c r="I10" s="20">
        <v>193.0</v>
      </c>
      <c r="J10" s="20" t="str">
        <f t="array" ref="J10">IFS(I10&gt;299,"High HP",I10&gt;99,"Medium HP",I10&lt;100,"Low HP")</f>
        <v>Medium HP</v>
      </c>
      <c r="K10" s="20" t="s">
        <v>21</v>
      </c>
      <c r="L10" s="20">
        <v>25.0</v>
      </c>
      <c r="M10" s="20">
        <v>83.9987238</v>
      </c>
      <c r="N10" s="20">
        <v>18.5</v>
      </c>
      <c r="O10" s="20">
        <v>111.4</v>
      </c>
      <c r="P10" s="20">
        <v>70.9</v>
      </c>
      <c r="Q10" s="20">
        <v>188.0</v>
      </c>
      <c r="R10" s="20">
        <v>3.472</v>
      </c>
      <c r="S10" s="24">
        <v>40637.0</v>
      </c>
      <c r="W10" s="11"/>
    </row>
    <row r="11" hidden="1">
      <c r="A11" s="25" t="s">
        <v>32</v>
      </c>
      <c r="B11" s="26" t="s">
        <v>33</v>
      </c>
      <c r="C11" s="28">
        <v>91561.0</v>
      </c>
      <c r="D11" s="29">
        <v>21975.0</v>
      </c>
      <c r="E11" s="29">
        <v>12475.0</v>
      </c>
      <c r="F11" s="30">
        <f t="shared" si="1"/>
        <v>0.5676905575</v>
      </c>
      <c r="G11" s="30" t="str">
        <f t="shared" si="2"/>
        <v>POOR</v>
      </c>
      <c r="H11" s="27">
        <v>3.1</v>
      </c>
      <c r="I11" s="27">
        <v>175.0</v>
      </c>
      <c r="J11" s="27" t="str">
        <f t="array" ref="J11">IFS(I11&gt;299,"High HP",I11&gt;99,"Medium HP",I11&lt;100,"Low HP")</f>
        <v>Medium HP</v>
      </c>
      <c r="K11" s="27" t="s">
        <v>21</v>
      </c>
      <c r="L11" s="27">
        <v>25.0</v>
      </c>
      <c r="M11" s="27">
        <v>71.18145132</v>
      </c>
      <c r="N11" s="27">
        <v>17.5</v>
      </c>
      <c r="O11" s="27">
        <v>109.0</v>
      </c>
      <c r="P11" s="27">
        <v>72.7</v>
      </c>
      <c r="Q11" s="27">
        <v>194.6</v>
      </c>
      <c r="R11" s="27">
        <v>3.368</v>
      </c>
      <c r="S11" s="31">
        <v>40849.0</v>
      </c>
      <c r="W11" s="11"/>
    </row>
    <row r="12" hidden="1">
      <c r="A12" s="18" t="s">
        <v>32</v>
      </c>
      <c r="B12" s="19" t="s">
        <v>34</v>
      </c>
      <c r="C12" s="21">
        <v>39350.0</v>
      </c>
      <c r="D12" s="22">
        <v>25300.0</v>
      </c>
      <c r="E12" s="22">
        <v>13740.0</v>
      </c>
      <c r="F12" s="23">
        <f t="shared" si="1"/>
        <v>0.543083004</v>
      </c>
      <c r="G12" s="23" t="str">
        <f t="shared" si="2"/>
        <v>POOR</v>
      </c>
      <c r="H12" s="20">
        <v>3.8</v>
      </c>
      <c r="I12" s="20">
        <v>240.0</v>
      </c>
      <c r="J12" s="20" t="str">
        <f t="array" ref="J12">IFS(I12&gt;299,"High HP",I12&gt;99,"Medium HP",I12&lt;100,"Low HP")</f>
        <v>Medium HP</v>
      </c>
      <c r="K12" s="20" t="s">
        <v>21</v>
      </c>
      <c r="L12" s="20">
        <v>23.0</v>
      </c>
      <c r="M12" s="20">
        <v>95.63670253</v>
      </c>
      <c r="N12" s="20">
        <v>17.5</v>
      </c>
      <c r="O12" s="20">
        <v>109.0</v>
      </c>
      <c r="P12" s="20">
        <v>72.7</v>
      </c>
      <c r="Q12" s="20">
        <v>196.2</v>
      </c>
      <c r="R12" s="20">
        <v>3.543</v>
      </c>
      <c r="S12" s="24">
        <v>40789.0</v>
      </c>
      <c r="W12" s="11"/>
    </row>
    <row r="13" hidden="1">
      <c r="A13" s="25" t="s">
        <v>32</v>
      </c>
      <c r="B13" s="26" t="s">
        <v>35</v>
      </c>
      <c r="C13" s="28">
        <v>27851.0</v>
      </c>
      <c r="D13" s="29">
        <v>31965.0</v>
      </c>
      <c r="E13" s="29">
        <v>20190.0</v>
      </c>
      <c r="F13" s="30">
        <f t="shared" si="1"/>
        <v>0.6316283435</v>
      </c>
      <c r="G13" s="30" t="str">
        <f t="shared" si="2"/>
        <v>POOR</v>
      </c>
      <c r="H13" s="27">
        <v>3.8</v>
      </c>
      <c r="I13" s="27">
        <v>205.0</v>
      </c>
      <c r="J13" s="27" t="str">
        <f t="array" ref="J13">IFS(I13&gt;299,"High HP",I13&gt;99,"Medium HP",I13&lt;100,"Low HP")</f>
        <v>Medium HP</v>
      </c>
      <c r="K13" s="27" t="s">
        <v>21</v>
      </c>
      <c r="L13" s="27">
        <v>24.0</v>
      </c>
      <c r="M13" s="27">
        <v>85.82840825</v>
      </c>
      <c r="N13" s="27">
        <v>18.5</v>
      </c>
      <c r="O13" s="27">
        <v>113.8</v>
      </c>
      <c r="P13" s="27">
        <v>74.7</v>
      </c>
      <c r="Q13" s="27">
        <v>206.8</v>
      </c>
      <c r="R13" s="27">
        <v>3.778</v>
      </c>
      <c r="S13" s="31">
        <v>40991.0</v>
      </c>
      <c r="W13" s="11"/>
    </row>
    <row r="14" hidden="1">
      <c r="A14" s="18" t="s">
        <v>32</v>
      </c>
      <c r="B14" s="19" t="s">
        <v>36</v>
      </c>
      <c r="C14" s="21">
        <v>83257.0</v>
      </c>
      <c r="D14" s="22">
        <v>27885.0</v>
      </c>
      <c r="E14" s="22">
        <v>13360.0</v>
      </c>
      <c r="F14" s="23">
        <f t="shared" si="1"/>
        <v>0.479110633</v>
      </c>
      <c r="G14" s="23" t="str">
        <f t="shared" si="2"/>
        <v>POOR</v>
      </c>
      <c r="H14" s="20">
        <v>3.8</v>
      </c>
      <c r="I14" s="20">
        <v>205.0</v>
      </c>
      <c r="J14" s="20" t="str">
        <f t="array" ref="J14">IFS(I14&gt;299,"High HP",I14&gt;99,"Medium HP",I14&lt;100,"Low HP")</f>
        <v>Medium HP</v>
      </c>
      <c r="K14" s="20" t="s">
        <v>21</v>
      </c>
      <c r="L14" s="20">
        <v>25.0</v>
      </c>
      <c r="M14" s="20">
        <v>84.25452581</v>
      </c>
      <c r="N14" s="20">
        <v>17.5</v>
      </c>
      <c r="O14" s="20">
        <v>112.2</v>
      </c>
      <c r="P14" s="20">
        <v>73.5</v>
      </c>
      <c r="Q14" s="20">
        <v>200.0</v>
      </c>
      <c r="R14" s="20">
        <v>3.591</v>
      </c>
      <c r="S14" s="24">
        <v>40747.0</v>
      </c>
    </row>
    <row r="15" hidden="1">
      <c r="A15" s="25" t="s">
        <v>37</v>
      </c>
      <c r="B15" s="26" t="s">
        <v>38</v>
      </c>
      <c r="C15" s="28">
        <v>63729.0</v>
      </c>
      <c r="D15" s="29">
        <v>39895.0</v>
      </c>
      <c r="E15" s="29">
        <v>22525.0</v>
      </c>
      <c r="F15" s="30">
        <f t="shared" si="1"/>
        <v>0.5646070936</v>
      </c>
      <c r="G15" s="30" t="str">
        <f t="shared" si="2"/>
        <v>POOR</v>
      </c>
      <c r="H15" s="27">
        <v>4.6</v>
      </c>
      <c r="I15" s="27">
        <v>275.0</v>
      </c>
      <c r="J15" s="27" t="str">
        <f t="array" ref="J15">IFS(I15&gt;299,"High HP",I15&gt;99,"Medium HP",I15&lt;100,"Low HP")</f>
        <v>Medium HP</v>
      </c>
      <c r="K15" s="27" t="s">
        <v>21</v>
      </c>
      <c r="L15" s="27">
        <v>22.0</v>
      </c>
      <c r="M15" s="27">
        <v>113.8545976</v>
      </c>
      <c r="N15" s="27">
        <v>18.5</v>
      </c>
      <c r="O15" s="27">
        <v>115.3</v>
      </c>
      <c r="P15" s="27">
        <v>74.5</v>
      </c>
      <c r="Q15" s="27">
        <v>207.2</v>
      </c>
      <c r="R15" s="27">
        <v>3.978</v>
      </c>
      <c r="S15" s="31">
        <v>40962.0</v>
      </c>
    </row>
    <row r="16" hidden="1">
      <c r="A16" s="18" t="s">
        <v>37</v>
      </c>
      <c r="B16" s="19" t="s">
        <v>39</v>
      </c>
      <c r="C16" s="21">
        <v>15943.0</v>
      </c>
      <c r="D16" s="22">
        <v>44475.0</v>
      </c>
      <c r="E16" s="22">
        <v>27100.0</v>
      </c>
      <c r="F16" s="23">
        <f t="shared" si="1"/>
        <v>0.6093310849</v>
      </c>
      <c r="G16" s="23" t="str">
        <f t="shared" si="2"/>
        <v>POOR</v>
      </c>
      <c r="H16" s="20">
        <v>4.6</v>
      </c>
      <c r="I16" s="20">
        <v>275.0</v>
      </c>
      <c r="J16" s="20" t="str">
        <f t="array" ref="J16">IFS(I16&gt;299,"High HP",I16&gt;99,"Medium HP",I16&lt;100,"Low HP")</f>
        <v>Medium HP</v>
      </c>
      <c r="K16" s="20" t="s">
        <v>21</v>
      </c>
      <c r="L16" s="20">
        <v>22.0</v>
      </c>
      <c r="M16" s="20">
        <v>115.6213578</v>
      </c>
      <c r="N16" s="20">
        <v>18.5</v>
      </c>
      <c r="O16" s="20">
        <v>112.2</v>
      </c>
      <c r="P16" s="20">
        <v>75.0</v>
      </c>
      <c r="Q16" s="20">
        <v>201.0</v>
      </c>
      <c r="R16" s="20">
        <v>3.875</v>
      </c>
      <c r="S16" s="24">
        <v>40662.0</v>
      </c>
      <c r="V16" s="11"/>
    </row>
    <row r="17" hidden="1">
      <c r="A17" s="25" t="s">
        <v>37</v>
      </c>
      <c r="B17" s="26" t="s">
        <v>40</v>
      </c>
      <c r="C17" s="28">
        <v>6536.0</v>
      </c>
      <c r="D17" s="29">
        <v>39665.0</v>
      </c>
      <c r="E17" s="29">
        <v>25725.0</v>
      </c>
      <c r="F17" s="30">
        <f t="shared" si="1"/>
        <v>0.648556662</v>
      </c>
      <c r="G17" s="30" t="str">
        <f t="shared" si="2"/>
        <v>POOR</v>
      </c>
      <c r="H17" s="27">
        <v>4.6</v>
      </c>
      <c r="I17" s="27">
        <v>275.0</v>
      </c>
      <c r="J17" s="27" t="str">
        <f t="array" ref="J17">IFS(I17&gt;299,"High HP",I17&gt;99,"Medium HP",I17&lt;100,"Low HP")</f>
        <v>Medium HP</v>
      </c>
      <c r="K17" s="27" t="s">
        <v>21</v>
      </c>
      <c r="L17" s="27">
        <v>22.0</v>
      </c>
      <c r="M17" s="27">
        <v>113.7658739</v>
      </c>
      <c r="N17" s="27">
        <v>19.0</v>
      </c>
      <c r="O17" s="27">
        <v>108.0</v>
      </c>
      <c r="P17" s="27">
        <v>75.5</v>
      </c>
      <c r="Q17" s="27">
        <v>200.6</v>
      </c>
      <c r="R17" s="27">
        <v>3.843</v>
      </c>
      <c r="S17" s="31">
        <v>40874.0</v>
      </c>
    </row>
    <row r="18" hidden="1">
      <c r="A18" s="18" t="s">
        <v>37</v>
      </c>
      <c r="B18" s="19" t="s">
        <v>41</v>
      </c>
      <c r="C18" s="21">
        <v>11185.0</v>
      </c>
      <c r="D18" s="22">
        <v>31010.0</v>
      </c>
      <c r="E18" s="22">
        <v>18225.0</v>
      </c>
      <c r="F18" s="23">
        <f t="shared" si="1"/>
        <v>0.5877136408</v>
      </c>
      <c r="G18" s="23" t="str">
        <f t="shared" si="2"/>
        <v>POOR</v>
      </c>
      <c r="H18" s="20">
        <v>3.0</v>
      </c>
      <c r="I18" s="20">
        <v>200.0</v>
      </c>
      <c r="J18" s="20" t="str">
        <f t="array" ref="J18">IFS(I18&gt;299,"High HP",I18&gt;99,"Medium HP",I18&lt;100,"Low HP")</f>
        <v>Medium HP</v>
      </c>
      <c r="K18" s="20" t="s">
        <v>21</v>
      </c>
      <c r="L18" s="20">
        <v>22.0</v>
      </c>
      <c r="M18" s="20">
        <v>83.48309358</v>
      </c>
      <c r="N18" s="20">
        <v>18.0</v>
      </c>
      <c r="O18" s="20">
        <v>107.4</v>
      </c>
      <c r="P18" s="20">
        <v>70.3</v>
      </c>
      <c r="Q18" s="20">
        <v>194.8</v>
      </c>
      <c r="R18" s="20">
        <v>3.77</v>
      </c>
      <c r="S18" s="24">
        <v>40814.0</v>
      </c>
    </row>
    <row r="19" hidden="1">
      <c r="A19" s="25" t="s">
        <v>37</v>
      </c>
      <c r="B19" s="26" t="s">
        <v>42</v>
      </c>
      <c r="C19" s="28">
        <v>14785.0</v>
      </c>
      <c r="D19" s="29">
        <v>46225.0</v>
      </c>
      <c r="E19" s="29">
        <v>31245.0</v>
      </c>
      <c r="F19" s="30">
        <f t="shared" si="1"/>
        <v>0.6759329367</v>
      </c>
      <c r="G19" s="30" t="str">
        <f t="shared" si="2"/>
        <v>POOR</v>
      </c>
      <c r="H19" s="27">
        <v>5.7</v>
      </c>
      <c r="I19" s="27">
        <v>255.0</v>
      </c>
      <c r="J19" s="27" t="str">
        <f t="array" ref="J19">IFS(I19&gt;299,"High HP",I19&gt;99,"Medium HP",I19&lt;100,"Low HP")</f>
        <v>Medium HP</v>
      </c>
      <c r="K19" s="27" t="s">
        <v>43</v>
      </c>
      <c r="L19" s="27">
        <v>15.0</v>
      </c>
      <c r="M19" s="27">
        <v>109.5091165</v>
      </c>
      <c r="N19" s="27">
        <v>30.0</v>
      </c>
      <c r="O19" s="27">
        <v>117.5</v>
      </c>
      <c r="P19" s="27">
        <v>77.0</v>
      </c>
      <c r="Q19" s="27">
        <v>201.2</v>
      </c>
      <c r="R19" s="27">
        <v>5.572</v>
      </c>
      <c r="S19" s="31">
        <v>41016.0</v>
      </c>
    </row>
    <row r="20" hidden="1">
      <c r="A20" s="18" t="s">
        <v>44</v>
      </c>
      <c r="B20" s="19" t="s">
        <v>45</v>
      </c>
      <c r="C20" s="21">
        <v>145519.0</v>
      </c>
      <c r="D20" s="22">
        <v>13260.0</v>
      </c>
      <c r="E20" s="22">
        <v>9250.0</v>
      </c>
      <c r="F20" s="23">
        <f t="shared" si="1"/>
        <v>0.697586727</v>
      </c>
      <c r="G20" s="23" t="str">
        <f t="shared" si="2"/>
        <v>GOOD</v>
      </c>
      <c r="H20" s="20">
        <v>2.2</v>
      </c>
      <c r="I20" s="20">
        <v>115.0</v>
      </c>
      <c r="J20" s="20" t="str">
        <f t="array" ref="J20">IFS(I20&gt;299,"High HP",I20&gt;99,"Medium HP",I20&lt;100,"Low HP")</f>
        <v>Medium HP</v>
      </c>
      <c r="K20" s="20" t="s">
        <v>21</v>
      </c>
      <c r="L20" s="20">
        <v>27.0</v>
      </c>
      <c r="M20" s="20">
        <v>46.36334747</v>
      </c>
      <c r="N20" s="20">
        <v>14.3</v>
      </c>
      <c r="O20" s="20">
        <v>104.1</v>
      </c>
      <c r="P20" s="20">
        <v>67.9</v>
      </c>
      <c r="Q20" s="20">
        <v>180.9</v>
      </c>
      <c r="R20" s="20">
        <v>2.676</v>
      </c>
      <c r="S20" s="24">
        <v>40772.0</v>
      </c>
    </row>
    <row r="21" ht="15.75" hidden="1" customHeight="1">
      <c r="A21" s="25" t="s">
        <v>44</v>
      </c>
      <c r="B21" s="26" t="s">
        <v>46</v>
      </c>
      <c r="C21" s="28">
        <v>135126.0</v>
      </c>
      <c r="D21" s="29">
        <v>16535.0</v>
      </c>
      <c r="E21" s="29">
        <v>11225.0</v>
      </c>
      <c r="F21" s="30">
        <f t="shared" si="1"/>
        <v>0.6788630178</v>
      </c>
      <c r="G21" s="30" t="str">
        <f t="shared" si="2"/>
        <v>POOR</v>
      </c>
      <c r="H21" s="27">
        <v>3.1</v>
      </c>
      <c r="I21" s="27">
        <v>170.0</v>
      </c>
      <c r="J21" s="27" t="str">
        <f t="array" ref="J21">IFS(I21&gt;299,"High HP",I21&gt;99,"Medium HP",I21&lt;100,"Low HP")</f>
        <v>Medium HP</v>
      </c>
      <c r="K21" s="27" t="s">
        <v>21</v>
      </c>
      <c r="L21" s="27">
        <v>25.0</v>
      </c>
      <c r="M21" s="27">
        <v>67.31446216</v>
      </c>
      <c r="N21" s="27">
        <v>15.0</v>
      </c>
      <c r="O21" s="27">
        <v>107.0</v>
      </c>
      <c r="P21" s="27">
        <v>69.4</v>
      </c>
      <c r="Q21" s="27">
        <v>190.4</v>
      </c>
      <c r="R21" s="27">
        <v>3.051</v>
      </c>
      <c r="S21" s="31">
        <v>40987.0</v>
      </c>
      <c r="V21" s="3"/>
      <c r="W21" s="3"/>
      <c r="X21" s="12"/>
      <c r="Y21" s="12"/>
      <c r="Z21" s="12"/>
    </row>
    <row r="22" ht="15.75" hidden="1" customHeight="1">
      <c r="A22" s="18" t="s">
        <v>44</v>
      </c>
      <c r="B22" s="19" t="s">
        <v>47</v>
      </c>
      <c r="C22" s="21">
        <v>24629.0</v>
      </c>
      <c r="D22" s="22">
        <v>18890.0</v>
      </c>
      <c r="E22" s="22">
        <v>10310.0</v>
      </c>
      <c r="F22" s="23">
        <f t="shared" si="1"/>
        <v>0.545791424</v>
      </c>
      <c r="G22" s="23" t="str">
        <f t="shared" si="2"/>
        <v>POOR</v>
      </c>
      <c r="H22" s="20">
        <v>3.1</v>
      </c>
      <c r="I22" s="20">
        <v>175.0</v>
      </c>
      <c r="J22" s="20" t="str">
        <f t="array" ref="J22">IFS(I22&gt;299,"High HP",I22&gt;99,"Medium HP",I22&lt;100,"Low HP")</f>
        <v>Medium HP</v>
      </c>
      <c r="K22" s="20" t="s">
        <v>21</v>
      </c>
      <c r="L22" s="20">
        <v>25.0</v>
      </c>
      <c r="M22" s="20">
        <v>69.9913956</v>
      </c>
      <c r="N22" s="20">
        <v>16.6</v>
      </c>
      <c r="O22" s="20">
        <v>107.5</v>
      </c>
      <c r="P22" s="20">
        <v>72.5</v>
      </c>
      <c r="Q22" s="20">
        <v>200.9</v>
      </c>
      <c r="R22" s="20">
        <v>3.33</v>
      </c>
      <c r="S22" s="24">
        <v>40687.0</v>
      </c>
      <c r="X22" s="13"/>
      <c r="Y22" s="13"/>
      <c r="Z22" s="13"/>
    </row>
    <row r="23" ht="15.75" hidden="1" customHeight="1">
      <c r="A23" s="25" t="s">
        <v>44</v>
      </c>
      <c r="B23" s="26" t="s">
        <v>48</v>
      </c>
      <c r="C23" s="28">
        <v>42593.0</v>
      </c>
      <c r="D23" s="29">
        <v>19390.0</v>
      </c>
      <c r="E23" s="29">
        <v>11525.0</v>
      </c>
      <c r="F23" s="30">
        <f t="shared" si="1"/>
        <v>0.5943785456</v>
      </c>
      <c r="G23" s="30" t="str">
        <f t="shared" si="2"/>
        <v>POOR</v>
      </c>
      <c r="H23" s="27">
        <v>3.4</v>
      </c>
      <c r="I23" s="27">
        <v>180.0</v>
      </c>
      <c r="J23" s="27" t="str">
        <f t="array" ref="J23">IFS(I23&gt;299,"High HP",I23&gt;99,"Medium HP",I23&lt;100,"Low HP")</f>
        <v>Medium HP</v>
      </c>
      <c r="K23" s="27" t="s">
        <v>21</v>
      </c>
      <c r="L23" s="27">
        <v>27.0</v>
      </c>
      <c r="M23" s="27">
        <v>72.03091719</v>
      </c>
      <c r="N23" s="27">
        <v>17.0</v>
      </c>
      <c r="O23" s="27">
        <v>110.5</v>
      </c>
      <c r="P23" s="27">
        <v>72.7</v>
      </c>
      <c r="Q23" s="27">
        <v>197.9</v>
      </c>
      <c r="R23" s="27">
        <v>3.34</v>
      </c>
      <c r="S23" s="31">
        <v>40899.0</v>
      </c>
    </row>
    <row r="24" ht="15.75" hidden="1" customHeight="1">
      <c r="A24" s="18" t="s">
        <v>44</v>
      </c>
      <c r="B24" s="19" t="s">
        <v>49</v>
      </c>
      <c r="C24" s="21">
        <v>26402.0</v>
      </c>
      <c r="D24" s="22">
        <v>24340.0</v>
      </c>
      <c r="E24" s="22">
        <v>13025.0</v>
      </c>
      <c r="F24" s="23">
        <f t="shared" si="1"/>
        <v>0.5351273624</v>
      </c>
      <c r="G24" s="23" t="str">
        <f t="shared" si="2"/>
        <v>POOR</v>
      </c>
      <c r="H24" s="20">
        <v>3.8</v>
      </c>
      <c r="I24" s="20">
        <v>200.0</v>
      </c>
      <c r="J24" s="20" t="str">
        <f t="array" ref="J24">IFS(I24&gt;299,"High HP",I24&gt;99,"Medium HP",I24&lt;100,"Low HP")</f>
        <v>Medium HP</v>
      </c>
      <c r="K24" s="20" t="s">
        <v>21</v>
      </c>
      <c r="L24" s="20">
        <v>25.0</v>
      </c>
      <c r="M24" s="20">
        <v>81.11854333</v>
      </c>
      <c r="N24" s="20">
        <v>16.8</v>
      </c>
      <c r="O24" s="20">
        <v>101.1</v>
      </c>
      <c r="P24" s="20">
        <v>74.1</v>
      </c>
      <c r="Q24" s="20">
        <v>193.2</v>
      </c>
      <c r="R24" s="20">
        <v>3.5</v>
      </c>
      <c r="S24" s="24">
        <v>40839.0</v>
      </c>
    </row>
    <row r="25" ht="15.75" hidden="1" customHeight="1">
      <c r="A25" s="25" t="s">
        <v>44</v>
      </c>
      <c r="B25" s="26" t="s">
        <v>50</v>
      </c>
      <c r="C25" s="28">
        <v>17947.0</v>
      </c>
      <c r="D25" s="29">
        <v>55705.0</v>
      </c>
      <c r="E25" s="29">
        <v>36225.0</v>
      </c>
      <c r="F25" s="30">
        <f t="shared" si="1"/>
        <v>0.6503006911</v>
      </c>
      <c r="G25" s="30" t="str">
        <f t="shared" si="2"/>
        <v>POOR</v>
      </c>
      <c r="H25" s="27">
        <v>5.7</v>
      </c>
      <c r="I25" s="27">
        <v>345.0</v>
      </c>
      <c r="J25" s="27" t="str">
        <f t="array" ref="J25">IFS(I25&gt;299,"High HP",I25&gt;99,"Medium HP",I25&lt;100,"Low HP")</f>
        <v>High HP</v>
      </c>
      <c r="K25" s="27" t="s">
        <v>21</v>
      </c>
      <c r="L25" s="27">
        <v>22.0</v>
      </c>
      <c r="M25" s="27">
        <v>141.14115</v>
      </c>
      <c r="N25" s="27">
        <v>19.1</v>
      </c>
      <c r="O25" s="27">
        <v>104.5</v>
      </c>
      <c r="P25" s="27">
        <v>73.6</v>
      </c>
      <c r="Q25" s="27">
        <v>179.7</v>
      </c>
      <c r="R25" s="27">
        <v>3.21</v>
      </c>
      <c r="S25" s="31">
        <v>41041.0</v>
      </c>
    </row>
    <row r="26" ht="15.75" hidden="1" customHeight="1">
      <c r="A26" s="18" t="s">
        <v>44</v>
      </c>
      <c r="B26" s="19" t="s">
        <v>51</v>
      </c>
      <c r="C26" s="21">
        <v>32299.0</v>
      </c>
      <c r="D26" s="22">
        <v>13960.0</v>
      </c>
      <c r="E26" s="22">
        <v>9125.0</v>
      </c>
      <c r="F26" s="23">
        <f t="shared" si="1"/>
        <v>0.6536532951</v>
      </c>
      <c r="G26" s="23" t="str">
        <f t="shared" si="2"/>
        <v>POOR</v>
      </c>
      <c r="H26" s="20">
        <v>1.8</v>
      </c>
      <c r="I26" s="20">
        <v>120.0</v>
      </c>
      <c r="J26" s="20" t="str">
        <f t="array" ref="J26">IFS(I26&gt;299,"High HP",I26&gt;99,"Medium HP",I26&lt;100,"Low HP")</f>
        <v>Medium HP</v>
      </c>
      <c r="K26" s="20" t="s">
        <v>21</v>
      </c>
      <c r="L26" s="20">
        <v>33.0</v>
      </c>
      <c r="M26" s="20">
        <v>48.2976361</v>
      </c>
      <c r="N26" s="20">
        <v>13.2</v>
      </c>
      <c r="O26" s="20">
        <v>97.1</v>
      </c>
      <c r="P26" s="20">
        <v>66.7</v>
      </c>
      <c r="Q26" s="20">
        <v>174.3</v>
      </c>
      <c r="R26" s="20">
        <v>2.398</v>
      </c>
      <c r="S26" s="24">
        <v>40797.0</v>
      </c>
    </row>
    <row r="27" ht="15.75" hidden="1" customHeight="1">
      <c r="A27" s="25" t="s">
        <v>44</v>
      </c>
      <c r="B27" s="26" t="s">
        <v>52</v>
      </c>
      <c r="C27" s="28">
        <v>21855.0</v>
      </c>
      <c r="D27" s="29">
        <v>9235.0</v>
      </c>
      <c r="E27" s="29">
        <v>5160.0</v>
      </c>
      <c r="F27" s="30">
        <f t="shared" si="1"/>
        <v>0.558743909</v>
      </c>
      <c r="G27" s="30" t="str">
        <f t="shared" si="2"/>
        <v>POOR</v>
      </c>
      <c r="H27" s="27">
        <v>1.0</v>
      </c>
      <c r="I27" s="27">
        <v>55.0</v>
      </c>
      <c r="J27" s="27" t="str">
        <f t="array" ref="J27">IFS(I27&gt;299,"High HP",I27&gt;99,"Medium HP",I27&lt;100,"Low HP")</f>
        <v>Low HP</v>
      </c>
      <c r="K27" s="27" t="s">
        <v>21</v>
      </c>
      <c r="L27" s="27">
        <v>45.0</v>
      </c>
      <c r="M27" s="27">
        <v>23.27627233</v>
      </c>
      <c r="N27" s="27">
        <v>10.3</v>
      </c>
      <c r="O27" s="27">
        <v>93.1</v>
      </c>
      <c r="P27" s="27">
        <v>62.6</v>
      </c>
      <c r="Q27" s="27">
        <v>149.4</v>
      </c>
      <c r="R27" s="27">
        <v>1.895</v>
      </c>
      <c r="S27" s="31">
        <v>41012.0</v>
      </c>
    </row>
    <row r="28" ht="15.75" hidden="1" customHeight="1">
      <c r="A28" s="18" t="s">
        <v>44</v>
      </c>
      <c r="B28" s="19" t="s">
        <v>53</v>
      </c>
      <c r="C28" s="21">
        <v>107995.0</v>
      </c>
      <c r="D28" s="22">
        <v>18890.0</v>
      </c>
      <c r="E28" s="22">
        <v>11550.0</v>
      </c>
      <c r="F28" s="23">
        <f t="shared" si="1"/>
        <v>0.6114346215</v>
      </c>
      <c r="G28" s="23" t="str">
        <f t="shared" si="2"/>
        <v>POOR</v>
      </c>
      <c r="H28" s="20">
        <v>3.4</v>
      </c>
      <c r="I28" s="20">
        <v>180.0</v>
      </c>
      <c r="J28" s="20" t="str">
        <f t="array" ref="J28">IFS(I28&gt;299,"High HP",I28&gt;99,"Medium HP",I28&lt;100,"Low HP")</f>
        <v>Medium HP</v>
      </c>
      <c r="K28" s="20" t="s">
        <v>21</v>
      </c>
      <c r="L28" s="20">
        <v>27.0</v>
      </c>
      <c r="M28" s="20">
        <v>71.83803944</v>
      </c>
      <c r="N28" s="20">
        <v>17.0</v>
      </c>
      <c r="O28" s="20">
        <v>110.5</v>
      </c>
      <c r="P28" s="20">
        <v>73.0</v>
      </c>
      <c r="Q28" s="20">
        <v>200.0</v>
      </c>
      <c r="R28" s="20">
        <v>3.389</v>
      </c>
      <c r="S28" s="24">
        <v>40712.0</v>
      </c>
    </row>
    <row r="29" ht="15.75" hidden="1" customHeight="1">
      <c r="A29" s="25" t="s">
        <v>54</v>
      </c>
      <c r="B29" s="26" t="s">
        <v>55</v>
      </c>
      <c r="C29" s="28">
        <v>7854.0</v>
      </c>
      <c r="D29" s="29">
        <v>19840.0</v>
      </c>
      <c r="E29" s="29">
        <v>12360.0</v>
      </c>
      <c r="F29" s="30">
        <f t="shared" si="1"/>
        <v>0.622983871</v>
      </c>
      <c r="G29" s="30" t="str">
        <f t="shared" si="2"/>
        <v>POOR</v>
      </c>
      <c r="H29" s="27">
        <v>2.5</v>
      </c>
      <c r="I29" s="27">
        <v>163.0</v>
      </c>
      <c r="J29" s="27" t="str">
        <f t="array" ref="J29">IFS(I29&gt;299,"High HP",I29&gt;99,"Medium HP",I29&lt;100,"Low HP")</f>
        <v>Medium HP</v>
      </c>
      <c r="K29" s="27" t="s">
        <v>21</v>
      </c>
      <c r="L29" s="27">
        <v>24.0</v>
      </c>
      <c r="M29" s="27">
        <v>65.95718396</v>
      </c>
      <c r="N29" s="27">
        <v>15.9</v>
      </c>
      <c r="O29" s="27">
        <v>103.7</v>
      </c>
      <c r="P29" s="27">
        <v>69.7</v>
      </c>
      <c r="Q29" s="27">
        <v>190.9</v>
      </c>
      <c r="R29" s="27">
        <v>2.967</v>
      </c>
      <c r="S29" s="31">
        <v>40924.0</v>
      </c>
    </row>
    <row r="30" ht="15.75" hidden="1" customHeight="1">
      <c r="A30" s="18" t="s">
        <v>54</v>
      </c>
      <c r="B30" s="19" t="s">
        <v>56</v>
      </c>
      <c r="C30" s="21">
        <v>32775.0</v>
      </c>
      <c r="D30" s="22">
        <v>24495.0</v>
      </c>
      <c r="E30" s="22">
        <v>14180.0</v>
      </c>
      <c r="F30" s="23">
        <f t="shared" si="1"/>
        <v>0.5788936518</v>
      </c>
      <c r="G30" s="23" t="str">
        <f t="shared" si="2"/>
        <v>POOR</v>
      </c>
      <c r="H30" s="20">
        <v>2.5</v>
      </c>
      <c r="I30" s="20">
        <v>168.0</v>
      </c>
      <c r="J30" s="20" t="str">
        <f t="array" ref="J30">IFS(I30&gt;299,"High HP",I30&gt;99,"Medium HP",I30&lt;100,"Low HP")</f>
        <v>Medium HP</v>
      </c>
      <c r="K30" s="20" t="s">
        <v>21</v>
      </c>
      <c r="L30" s="20">
        <v>24.0</v>
      </c>
      <c r="M30" s="20">
        <v>69.52135505</v>
      </c>
      <c r="N30" s="20">
        <v>16.0</v>
      </c>
      <c r="O30" s="20">
        <v>106.0</v>
      </c>
      <c r="P30" s="20">
        <v>69.2</v>
      </c>
      <c r="Q30" s="20">
        <v>193.0</v>
      </c>
      <c r="R30" s="20">
        <v>3.332</v>
      </c>
      <c r="S30" s="24">
        <v>40864.0</v>
      </c>
    </row>
    <row r="31" ht="15.75" hidden="1" customHeight="1">
      <c r="A31" s="25" t="s">
        <v>54</v>
      </c>
      <c r="B31" s="26" t="s">
        <v>57</v>
      </c>
      <c r="C31" s="28">
        <v>31148.0</v>
      </c>
      <c r="D31" s="29">
        <v>22245.0</v>
      </c>
      <c r="E31" s="29">
        <v>13725.0</v>
      </c>
      <c r="F31" s="30">
        <f t="shared" si="1"/>
        <v>0.6169925826</v>
      </c>
      <c r="G31" s="30" t="str">
        <f t="shared" si="2"/>
        <v>POOR</v>
      </c>
      <c r="H31" s="27">
        <v>2.7</v>
      </c>
      <c r="I31" s="27">
        <v>200.0</v>
      </c>
      <c r="J31" s="27" t="str">
        <f t="array" ref="J31">IFS(I31&gt;299,"High HP",I31&gt;99,"Medium HP",I31&lt;100,"Low HP")</f>
        <v>Medium HP</v>
      </c>
      <c r="K31" s="27" t="s">
        <v>21</v>
      </c>
      <c r="L31" s="27">
        <v>26.0</v>
      </c>
      <c r="M31" s="27">
        <v>80.02378204</v>
      </c>
      <c r="N31" s="27">
        <v>17.0</v>
      </c>
      <c r="O31" s="27">
        <v>113.0</v>
      </c>
      <c r="P31" s="27">
        <v>74.4</v>
      </c>
      <c r="Q31" s="27">
        <v>209.1</v>
      </c>
      <c r="R31" s="27">
        <v>3.452</v>
      </c>
      <c r="S31" s="31">
        <v>41066.0</v>
      </c>
    </row>
    <row r="32" ht="15.75" hidden="1" customHeight="1">
      <c r="A32" s="18" t="s">
        <v>54</v>
      </c>
      <c r="B32" s="19" t="s">
        <v>58</v>
      </c>
      <c r="C32" s="21">
        <v>32305.999999999996</v>
      </c>
      <c r="D32" s="22">
        <v>16480.0</v>
      </c>
      <c r="E32" s="22">
        <v>12640.0</v>
      </c>
      <c r="F32" s="23">
        <f t="shared" si="1"/>
        <v>0.7669902913</v>
      </c>
      <c r="G32" s="23" t="str">
        <f t="shared" si="2"/>
        <v>GOOD</v>
      </c>
      <c r="H32" s="20">
        <v>2.0</v>
      </c>
      <c r="I32" s="20">
        <v>132.0</v>
      </c>
      <c r="J32" s="20" t="str">
        <f t="array" ref="J32">IFS(I32&gt;299,"High HP",I32&gt;99,"Medium HP",I32&lt;100,"Low HP")</f>
        <v>Medium HP</v>
      </c>
      <c r="K32" s="20" t="s">
        <v>21</v>
      </c>
      <c r="L32" s="20">
        <v>27.0</v>
      </c>
      <c r="M32" s="20">
        <v>53.56619987</v>
      </c>
      <c r="N32" s="20">
        <v>16.0</v>
      </c>
      <c r="O32" s="20">
        <v>108.0</v>
      </c>
      <c r="P32" s="20">
        <v>71.0</v>
      </c>
      <c r="Q32" s="20">
        <v>186.0</v>
      </c>
      <c r="R32" s="20">
        <v>2.911</v>
      </c>
      <c r="S32" s="24">
        <v>40822.0</v>
      </c>
    </row>
    <row r="33" ht="15.75" hidden="1" customHeight="1">
      <c r="A33" s="25" t="s">
        <v>54</v>
      </c>
      <c r="B33" s="26" t="s">
        <v>59</v>
      </c>
      <c r="C33" s="28">
        <v>13462.0</v>
      </c>
      <c r="D33" s="29">
        <v>28340.0</v>
      </c>
      <c r="E33" s="29">
        <v>17325.0</v>
      </c>
      <c r="F33" s="30">
        <f t="shared" si="1"/>
        <v>0.6113267466</v>
      </c>
      <c r="G33" s="30" t="str">
        <f t="shared" si="2"/>
        <v>POOR</v>
      </c>
      <c r="H33" s="27">
        <v>3.5</v>
      </c>
      <c r="I33" s="27">
        <v>253.0</v>
      </c>
      <c r="J33" s="27" t="str">
        <f t="array" ref="J33">IFS(I33&gt;299,"High HP",I33&gt;99,"Medium HP",I33&lt;100,"Low HP")</f>
        <v>Medium HP</v>
      </c>
      <c r="K33" s="27" t="s">
        <v>21</v>
      </c>
      <c r="L33" s="27">
        <v>23.0</v>
      </c>
      <c r="M33" s="27">
        <v>101.3292807</v>
      </c>
      <c r="N33" s="27">
        <v>17.0</v>
      </c>
      <c r="O33" s="27">
        <v>113.0</v>
      </c>
      <c r="P33" s="27">
        <v>74.4</v>
      </c>
      <c r="Q33" s="27">
        <v>207.7</v>
      </c>
      <c r="R33" s="27">
        <v>3.564</v>
      </c>
      <c r="S33" s="31">
        <v>41037.0</v>
      </c>
    </row>
    <row r="34" ht="15.75" hidden="1" customHeight="1">
      <c r="A34" s="18" t="s">
        <v>54</v>
      </c>
      <c r="B34" s="19" t="s">
        <v>60</v>
      </c>
      <c r="C34" s="21">
        <v>30696.0</v>
      </c>
      <c r="D34" s="22">
        <v>29185.0</v>
      </c>
      <c r="E34" s="22">
        <v>18425.0</v>
      </c>
      <c r="F34" s="23">
        <f t="shared" si="1"/>
        <v>0.6313174576</v>
      </c>
      <c r="G34" s="23" t="str">
        <f t="shared" si="2"/>
        <v>POOR</v>
      </c>
      <c r="H34" s="20">
        <v>3.5</v>
      </c>
      <c r="I34" s="20">
        <v>253.0</v>
      </c>
      <c r="J34" s="20" t="str">
        <f t="array" ref="J34">IFS(I34&gt;299,"High HP",I34&gt;99,"Medium HP",I34&lt;100,"Low HP")</f>
        <v>Medium HP</v>
      </c>
      <c r="K34" s="20" t="s">
        <v>21</v>
      </c>
      <c r="L34" s="20">
        <v>23.0</v>
      </c>
      <c r="M34" s="20">
        <v>101.6552441</v>
      </c>
      <c r="N34" s="20">
        <v>17.0</v>
      </c>
      <c r="O34" s="20">
        <v>113.0</v>
      </c>
      <c r="P34" s="20">
        <v>74.4</v>
      </c>
      <c r="Q34" s="20">
        <v>197.8</v>
      </c>
      <c r="R34" s="20">
        <v>3.567</v>
      </c>
      <c r="S34" s="24">
        <v>40949.0</v>
      </c>
    </row>
    <row r="35" ht="15.75" hidden="1" customHeight="1">
      <c r="A35" s="25" t="s">
        <v>61</v>
      </c>
      <c r="B35" s="26" t="s">
        <v>62</v>
      </c>
      <c r="C35" s="28">
        <v>76034.0</v>
      </c>
      <c r="D35" s="29">
        <v>12640.0</v>
      </c>
      <c r="E35" s="29">
        <v>7750.0</v>
      </c>
      <c r="F35" s="30">
        <f t="shared" si="1"/>
        <v>0.6131329114</v>
      </c>
      <c r="G35" s="30" t="str">
        <f t="shared" si="2"/>
        <v>POOR</v>
      </c>
      <c r="H35" s="27">
        <v>2.0</v>
      </c>
      <c r="I35" s="27">
        <v>132.0</v>
      </c>
      <c r="J35" s="27" t="str">
        <f t="array" ref="J35">IFS(I35&gt;299,"High HP",I35&gt;99,"Medium HP",I35&lt;100,"Low HP")</f>
        <v>Medium HP</v>
      </c>
      <c r="K35" s="27" t="s">
        <v>21</v>
      </c>
      <c r="L35" s="27">
        <v>29.0</v>
      </c>
      <c r="M35" s="27">
        <v>52.08489875</v>
      </c>
      <c r="N35" s="27">
        <v>12.5</v>
      </c>
      <c r="O35" s="27">
        <v>105.0</v>
      </c>
      <c r="P35" s="27">
        <v>74.4</v>
      </c>
      <c r="Q35" s="27">
        <v>174.4</v>
      </c>
      <c r="R35" s="27">
        <v>2.567</v>
      </c>
      <c r="S35" s="31">
        <v>40889.0</v>
      </c>
    </row>
    <row r="36" ht="15.75" hidden="1" customHeight="1">
      <c r="A36" s="18" t="s">
        <v>61</v>
      </c>
      <c r="B36" s="19" t="s">
        <v>63</v>
      </c>
      <c r="C36" s="21">
        <v>4734.0</v>
      </c>
      <c r="D36" s="22">
        <v>19045.0</v>
      </c>
      <c r="E36" s="22">
        <v>12545.0</v>
      </c>
      <c r="F36" s="23">
        <f t="shared" si="1"/>
        <v>0.6587030717</v>
      </c>
      <c r="G36" s="23" t="str">
        <f t="shared" si="2"/>
        <v>POOR</v>
      </c>
      <c r="H36" s="20">
        <v>2.5</v>
      </c>
      <c r="I36" s="20">
        <v>163.0</v>
      </c>
      <c r="J36" s="20" t="str">
        <f t="array" ref="J36">IFS(I36&gt;299,"High HP",I36&gt;99,"Medium HP",I36&lt;100,"Low HP")</f>
        <v>Medium HP</v>
      </c>
      <c r="K36" s="20" t="s">
        <v>21</v>
      </c>
      <c r="L36" s="20">
        <v>24.0</v>
      </c>
      <c r="M36" s="20">
        <v>65.65050834</v>
      </c>
      <c r="N36" s="20">
        <v>15.9</v>
      </c>
      <c r="O36" s="20">
        <v>103.7</v>
      </c>
      <c r="P36" s="20">
        <v>69.1</v>
      </c>
      <c r="Q36" s="20">
        <v>190.2</v>
      </c>
      <c r="R36" s="20">
        <v>2.879</v>
      </c>
      <c r="S36" s="24">
        <v>41091.0</v>
      </c>
    </row>
    <row r="37" ht="15.75" hidden="1" customHeight="1">
      <c r="A37" s="25" t="s">
        <v>61</v>
      </c>
      <c r="B37" s="26" t="s">
        <v>64</v>
      </c>
      <c r="C37" s="28">
        <v>71186.0</v>
      </c>
      <c r="D37" s="29">
        <v>20230.0</v>
      </c>
      <c r="E37" s="29">
        <v>10185.0</v>
      </c>
      <c r="F37" s="30">
        <f t="shared" si="1"/>
        <v>0.5034602076</v>
      </c>
      <c r="G37" s="30" t="str">
        <f t="shared" si="2"/>
        <v>POOR</v>
      </c>
      <c r="H37" s="27">
        <v>2.5</v>
      </c>
      <c r="I37" s="27">
        <v>168.0</v>
      </c>
      <c r="J37" s="27" t="str">
        <f t="array" ref="J37">IFS(I37&gt;299,"High HP",I37&gt;99,"Medium HP",I37&lt;100,"Low HP")</f>
        <v>Medium HP</v>
      </c>
      <c r="K37" s="27" t="s">
        <v>21</v>
      </c>
      <c r="L37" s="27">
        <v>24.0</v>
      </c>
      <c r="M37" s="27">
        <v>67.87610784</v>
      </c>
      <c r="N37" s="27">
        <v>16.0</v>
      </c>
      <c r="O37" s="27">
        <v>108.0</v>
      </c>
      <c r="P37" s="27">
        <v>71.0</v>
      </c>
      <c r="Q37" s="27">
        <v>186.0</v>
      </c>
      <c r="R37" s="27">
        <v>3.058</v>
      </c>
      <c r="S37" s="31">
        <v>40847.0</v>
      </c>
    </row>
    <row r="38" ht="15.75" hidden="1" customHeight="1">
      <c r="A38" s="18" t="s">
        <v>61</v>
      </c>
      <c r="B38" s="19" t="s">
        <v>65</v>
      </c>
      <c r="C38" s="21">
        <v>88028.0</v>
      </c>
      <c r="D38" s="22">
        <v>22505.0</v>
      </c>
      <c r="E38" s="22">
        <v>12275.0</v>
      </c>
      <c r="F38" s="23">
        <f t="shared" si="1"/>
        <v>0.5454343479</v>
      </c>
      <c r="G38" s="23" t="str">
        <f t="shared" si="2"/>
        <v>POOR</v>
      </c>
      <c r="H38" s="20">
        <v>2.7</v>
      </c>
      <c r="I38" s="20">
        <v>202.0</v>
      </c>
      <c r="J38" s="20" t="str">
        <f t="array" ref="J38">IFS(I38&gt;299,"High HP",I38&gt;99,"Medium HP",I38&lt;100,"Low HP")</f>
        <v>Medium HP</v>
      </c>
      <c r="K38" s="20" t="s">
        <v>21</v>
      </c>
      <c r="L38" s="20">
        <v>22.0</v>
      </c>
      <c r="M38" s="20">
        <v>80.83147017</v>
      </c>
      <c r="N38" s="20">
        <v>17.0</v>
      </c>
      <c r="O38" s="20">
        <v>113.0</v>
      </c>
      <c r="P38" s="20">
        <v>74.7</v>
      </c>
      <c r="Q38" s="20">
        <v>203.7</v>
      </c>
      <c r="R38" s="20">
        <v>3.489</v>
      </c>
      <c r="S38" s="24">
        <v>41062.0</v>
      </c>
    </row>
    <row r="39" ht="15.75" hidden="1" customHeight="1">
      <c r="A39" s="25" t="s">
        <v>61</v>
      </c>
      <c r="B39" s="26" t="s">
        <v>66</v>
      </c>
      <c r="C39" s="28">
        <v>916.0</v>
      </c>
      <c r="D39" s="29">
        <v>69725.0</v>
      </c>
      <c r="E39" s="29">
        <v>58470.0</v>
      </c>
      <c r="F39" s="30">
        <f t="shared" si="1"/>
        <v>0.8385801362</v>
      </c>
      <c r="G39" s="30" t="str">
        <f t="shared" si="2"/>
        <v>GOOD</v>
      </c>
      <c r="H39" s="27">
        <v>8.0</v>
      </c>
      <c r="I39" s="27">
        <v>450.0</v>
      </c>
      <c r="J39" s="27" t="str">
        <f t="array" ref="J39">IFS(I39&gt;299,"High HP",I39&gt;99,"Medium HP",I39&lt;100,"Low HP")</f>
        <v>High HP</v>
      </c>
      <c r="K39" s="27" t="s">
        <v>21</v>
      </c>
      <c r="L39" s="27">
        <v>16.0</v>
      </c>
      <c r="M39" s="27">
        <v>188.144323</v>
      </c>
      <c r="N39" s="27">
        <v>19.0</v>
      </c>
      <c r="O39" s="27">
        <v>96.2</v>
      </c>
      <c r="P39" s="27">
        <v>75.7</v>
      </c>
      <c r="Q39" s="27">
        <v>176.7</v>
      </c>
      <c r="R39" s="27">
        <v>3.375</v>
      </c>
      <c r="S39" s="31">
        <v>40762.0</v>
      </c>
    </row>
    <row r="40" ht="15.75" hidden="1" customHeight="1">
      <c r="A40" s="18" t="s">
        <v>61</v>
      </c>
      <c r="B40" s="19" t="s">
        <v>67</v>
      </c>
      <c r="C40" s="21">
        <v>227061.0</v>
      </c>
      <c r="D40" s="22">
        <v>19460.0</v>
      </c>
      <c r="E40" s="22">
        <v>15060.0</v>
      </c>
      <c r="F40" s="23">
        <f t="shared" si="1"/>
        <v>0.7738951696</v>
      </c>
      <c r="G40" s="23" t="str">
        <f t="shared" si="2"/>
        <v>GOOD</v>
      </c>
      <c r="H40" s="20">
        <v>5.2</v>
      </c>
      <c r="I40" s="20">
        <v>230.0</v>
      </c>
      <c r="J40" s="20" t="str">
        <f t="array" ref="J40">IFS(I40&gt;299,"High HP",I40&gt;99,"Medium HP",I40&lt;100,"Low HP")</f>
        <v>Medium HP</v>
      </c>
      <c r="K40" s="20" t="s">
        <v>43</v>
      </c>
      <c r="L40" s="20">
        <v>17.0</v>
      </c>
      <c r="M40" s="20">
        <v>90.21170005</v>
      </c>
      <c r="N40" s="20">
        <v>26.0</v>
      </c>
      <c r="O40" s="20">
        <v>138.7</v>
      </c>
      <c r="P40" s="20">
        <v>79.3</v>
      </c>
      <c r="Q40" s="20">
        <v>224.2</v>
      </c>
      <c r="R40" s="20">
        <v>4.47</v>
      </c>
      <c r="S40" s="24">
        <v>40974.0</v>
      </c>
    </row>
    <row r="41" ht="15.75" hidden="1" customHeight="1">
      <c r="A41" s="25" t="s">
        <v>61</v>
      </c>
      <c r="B41" s="26" t="s">
        <v>68</v>
      </c>
      <c r="C41" s="28">
        <v>16767.0</v>
      </c>
      <c r="D41" s="29">
        <v>21315.0</v>
      </c>
      <c r="E41" s="29">
        <v>15510.0</v>
      </c>
      <c r="F41" s="30">
        <f t="shared" si="1"/>
        <v>0.7276565799</v>
      </c>
      <c r="G41" s="30" t="str">
        <f t="shared" si="2"/>
        <v>GOOD</v>
      </c>
      <c r="H41" s="27">
        <v>3.9</v>
      </c>
      <c r="I41" s="27">
        <v>175.0</v>
      </c>
      <c r="J41" s="27" t="str">
        <f t="array" ref="J41">IFS(I41&gt;299,"High HP",I41&gt;99,"Medium HP",I41&lt;100,"Low HP")</f>
        <v>Medium HP</v>
      </c>
      <c r="K41" s="27" t="s">
        <v>43</v>
      </c>
      <c r="L41" s="27">
        <v>15.0</v>
      </c>
      <c r="M41" s="27">
        <v>71.13529161</v>
      </c>
      <c r="N41" s="27">
        <v>32.0</v>
      </c>
      <c r="O41" s="27">
        <v>109.6</v>
      </c>
      <c r="P41" s="27">
        <v>78.8</v>
      </c>
      <c r="Q41" s="27">
        <v>192.6</v>
      </c>
      <c r="R41" s="27">
        <v>4.245</v>
      </c>
      <c r="S41" s="31">
        <v>40914.0</v>
      </c>
    </row>
    <row r="42" ht="15.75" hidden="1" customHeight="1">
      <c r="A42" s="18" t="s">
        <v>61</v>
      </c>
      <c r="B42" s="19" t="s">
        <v>69</v>
      </c>
      <c r="C42" s="21">
        <v>31038.0</v>
      </c>
      <c r="D42" s="22">
        <v>18575.0</v>
      </c>
      <c r="E42" s="22">
        <v>13425.0</v>
      </c>
      <c r="F42" s="23">
        <f t="shared" si="1"/>
        <v>0.7227456258</v>
      </c>
      <c r="G42" s="23" t="str">
        <f t="shared" si="2"/>
        <v>GOOD</v>
      </c>
      <c r="H42" s="20">
        <v>3.9</v>
      </c>
      <c r="I42" s="20">
        <v>175.0</v>
      </c>
      <c r="J42" s="20" t="str">
        <f t="array" ref="J42">IFS(I42&gt;299,"High HP",I42&gt;99,"Medium HP",I42&lt;100,"Low HP")</f>
        <v>Medium HP</v>
      </c>
      <c r="K42" s="20" t="s">
        <v>43</v>
      </c>
      <c r="L42" s="20">
        <v>16.0</v>
      </c>
      <c r="M42" s="20">
        <v>70.07832154</v>
      </c>
      <c r="N42" s="20">
        <v>32.0</v>
      </c>
      <c r="O42" s="20">
        <v>127.2</v>
      </c>
      <c r="P42" s="20">
        <v>78.8</v>
      </c>
      <c r="Q42" s="20">
        <v>208.5</v>
      </c>
      <c r="R42" s="20">
        <v>4.298</v>
      </c>
      <c r="S42" s="24">
        <v>41116.0</v>
      </c>
    </row>
    <row r="43" ht="15.75" hidden="1" customHeight="1">
      <c r="A43" s="25" t="s">
        <v>61</v>
      </c>
      <c r="B43" s="26" t="s">
        <v>70</v>
      </c>
      <c r="C43" s="28">
        <v>111313.0</v>
      </c>
      <c r="D43" s="29">
        <v>16980.0</v>
      </c>
      <c r="E43" s="29">
        <v>11260.0</v>
      </c>
      <c r="F43" s="30">
        <f t="shared" si="1"/>
        <v>0.6631330978</v>
      </c>
      <c r="G43" s="30" t="str">
        <f t="shared" si="2"/>
        <v>POOR</v>
      </c>
      <c r="H43" s="27">
        <v>2.5</v>
      </c>
      <c r="I43" s="27">
        <v>120.0</v>
      </c>
      <c r="J43" s="27" t="str">
        <f t="array" ref="J43">IFS(I43&gt;299,"High HP",I43&gt;99,"Medium HP",I43&lt;100,"Low HP")</f>
        <v>Medium HP</v>
      </c>
      <c r="K43" s="27" t="s">
        <v>43</v>
      </c>
      <c r="L43" s="27">
        <v>19.0</v>
      </c>
      <c r="M43" s="27">
        <v>49.64500177</v>
      </c>
      <c r="N43" s="27">
        <v>22.0</v>
      </c>
      <c r="O43" s="27">
        <v>131.0</v>
      </c>
      <c r="P43" s="27">
        <v>71.5</v>
      </c>
      <c r="Q43" s="27">
        <v>215.0</v>
      </c>
      <c r="R43" s="27">
        <v>3.557</v>
      </c>
      <c r="S43" s="31">
        <v>40872.0</v>
      </c>
    </row>
    <row r="44" ht="15.75" hidden="1" customHeight="1">
      <c r="A44" s="18" t="s">
        <v>61</v>
      </c>
      <c r="B44" s="19" t="s">
        <v>71</v>
      </c>
      <c r="C44" s="21">
        <v>101323.0</v>
      </c>
      <c r="D44" s="22">
        <v>26310.0</v>
      </c>
      <c r="E44" s="22">
        <v>21436.0</v>
      </c>
      <c r="F44" s="23">
        <f t="shared" si="1"/>
        <v>0.8147472444</v>
      </c>
      <c r="G44" s="23" t="str">
        <f t="shared" si="2"/>
        <v>GOOD</v>
      </c>
      <c r="H44" s="20">
        <v>5.2</v>
      </c>
      <c r="I44" s="20">
        <v>230.0</v>
      </c>
      <c r="J44" s="20" t="str">
        <f t="array" ref="J44">IFS(I44&gt;299,"High HP",I44&gt;99,"Medium HP",I44&lt;100,"Low HP")</f>
        <v>Medium HP</v>
      </c>
      <c r="K44" s="20" t="s">
        <v>43</v>
      </c>
      <c r="L44" s="20">
        <v>17.0</v>
      </c>
      <c r="M44" s="20">
        <v>92.85412522</v>
      </c>
      <c r="N44" s="20">
        <v>25.0</v>
      </c>
      <c r="O44" s="20">
        <v>115.7</v>
      </c>
      <c r="P44" s="20">
        <v>71.7</v>
      </c>
      <c r="Q44" s="20">
        <v>193.5</v>
      </c>
      <c r="R44" s="20">
        <v>4.394</v>
      </c>
      <c r="S44" s="24">
        <v>41087.0</v>
      </c>
    </row>
    <row r="45" ht="15.75" hidden="1" customHeight="1">
      <c r="A45" s="25" t="s">
        <v>61</v>
      </c>
      <c r="B45" s="26" t="s">
        <v>72</v>
      </c>
      <c r="C45" s="28">
        <v>181749.0</v>
      </c>
      <c r="D45" s="29">
        <v>19565.0</v>
      </c>
      <c r="E45" s="29">
        <v>12025.0</v>
      </c>
      <c r="F45" s="30">
        <f t="shared" si="1"/>
        <v>0.6146179402</v>
      </c>
      <c r="G45" s="30" t="str">
        <f t="shared" si="2"/>
        <v>POOR</v>
      </c>
      <c r="H45" s="27">
        <v>2.4</v>
      </c>
      <c r="I45" s="27">
        <v>150.0</v>
      </c>
      <c r="J45" s="27" t="str">
        <f t="array" ref="J45">IFS(I45&gt;299,"High HP",I45&gt;99,"Medium HP",I45&lt;100,"Low HP")</f>
        <v>Medium HP</v>
      </c>
      <c r="K45" s="27" t="s">
        <v>43</v>
      </c>
      <c r="L45" s="27">
        <v>24.0</v>
      </c>
      <c r="M45" s="27">
        <v>61.22700031</v>
      </c>
      <c r="N45" s="27">
        <v>20.0</v>
      </c>
      <c r="O45" s="27">
        <v>113.3</v>
      </c>
      <c r="P45" s="27">
        <v>76.8</v>
      </c>
      <c r="Q45" s="27">
        <v>186.3</v>
      </c>
      <c r="R45" s="27">
        <v>3.533</v>
      </c>
      <c r="S45" s="31">
        <v>40787.0</v>
      </c>
    </row>
    <row r="46" ht="15.75" hidden="1" customHeight="1">
      <c r="A46" s="18" t="s">
        <v>73</v>
      </c>
      <c r="B46" s="19" t="s">
        <v>74</v>
      </c>
      <c r="C46" s="21">
        <v>70227.0</v>
      </c>
      <c r="D46" s="22">
        <v>12070.0</v>
      </c>
      <c r="E46" s="22">
        <v>7425.0</v>
      </c>
      <c r="F46" s="23">
        <f t="shared" si="1"/>
        <v>0.6151615576</v>
      </c>
      <c r="G46" s="23" t="str">
        <f t="shared" si="2"/>
        <v>POOR</v>
      </c>
      <c r="H46" s="20">
        <v>2.0</v>
      </c>
      <c r="I46" s="20">
        <v>110.0</v>
      </c>
      <c r="J46" s="20" t="str">
        <f t="array" ref="J46">IFS(I46&gt;299,"High HP",I46&gt;99,"Medium HP",I46&lt;100,"Low HP")</f>
        <v>Medium HP</v>
      </c>
      <c r="K46" s="20" t="s">
        <v>21</v>
      </c>
      <c r="L46" s="20">
        <v>30.0</v>
      </c>
      <c r="M46" s="20">
        <v>44.08370946</v>
      </c>
      <c r="N46" s="20">
        <v>12.7</v>
      </c>
      <c r="O46" s="20">
        <v>98.4</v>
      </c>
      <c r="P46" s="20">
        <v>67.0</v>
      </c>
      <c r="Q46" s="20">
        <v>174.7</v>
      </c>
      <c r="R46" s="20">
        <v>2.468</v>
      </c>
      <c r="S46" s="24">
        <v>40999.0</v>
      </c>
    </row>
    <row r="47" ht="15.75" hidden="1" customHeight="1">
      <c r="A47" s="25" t="s">
        <v>73</v>
      </c>
      <c r="B47" s="26" t="s">
        <v>75</v>
      </c>
      <c r="C47" s="28">
        <v>113369.0</v>
      </c>
      <c r="D47" s="29">
        <v>21560.0</v>
      </c>
      <c r="E47" s="29">
        <v>12760.0</v>
      </c>
      <c r="F47" s="30">
        <f t="shared" si="1"/>
        <v>0.5918367347</v>
      </c>
      <c r="G47" s="30" t="str">
        <f t="shared" si="2"/>
        <v>POOR</v>
      </c>
      <c r="H47" s="27">
        <v>3.8</v>
      </c>
      <c r="I47" s="27">
        <v>190.0</v>
      </c>
      <c r="J47" s="27" t="str">
        <f t="array" ref="J47">IFS(I47&gt;299,"High HP",I47&gt;99,"Medium HP",I47&lt;100,"Low HP")</f>
        <v>Medium HP</v>
      </c>
      <c r="K47" s="27" t="s">
        <v>21</v>
      </c>
      <c r="L47" s="27">
        <v>24.0</v>
      </c>
      <c r="M47" s="27">
        <v>76.50918456</v>
      </c>
      <c r="N47" s="27">
        <v>15.7</v>
      </c>
      <c r="O47" s="27">
        <v>101.3</v>
      </c>
      <c r="P47" s="27">
        <v>73.1</v>
      </c>
      <c r="Q47" s="27">
        <v>183.2</v>
      </c>
      <c r="R47" s="27">
        <v>3.203</v>
      </c>
      <c r="S47" s="31">
        <v>40939.0</v>
      </c>
    </row>
    <row r="48" ht="15.75" hidden="1" customHeight="1">
      <c r="A48" s="18" t="s">
        <v>73</v>
      </c>
      <c r="B48" s="19" t="s">
        <v>76</v>
      </c>
      <c r="C48" s="21">
        <v>35068.0</v>
      </c>
      <c r="D48" s="22">
        <v>17035.0</v>
      </c>
      <c r="E48" s="22">
        <v>8835.0</v>
      </c>
      <c r="F48" s="23">
        <f t="shared" si="1"/>
        <v>0.518638098</v>
      </c>
      <c r="G48" s="23" t="str">
        <f t="shared" si="2"/>
        <v>POOR</v>
      </c>
      <c r="H48" s="20">
        <v>2.5</v>
      </c>
      <c r="I48" s="20">
        <v>170.0</v>
      </c>
      <c r="J48" s="20" t="str">
        <f t="array" ref="J48">IFS(I48&gt;299,"High HP",I48&gt;99,"Medium HP",I48&lt;100,"Low HP")</f>
        <v>Medium HP</v>
      </c>
      <c r="K48" s="20" t="s">
        <v>21</v>
      </c>
      <c r="L48" s="20">
        <v>25.0</v>
      </c>
      <c r="M48" s="20">
        <v>67.35101072</v>
      </c>
      <c r="N48" s="20">
        <v>15.0</v>
      </c>
      <c r="O48" s="20">
        <v>106.5</v>
      </c>
      <c r="P48" s="20">
        <v>69.1</v>
      </c>
      <c r="Q48" s="20">
        <v>184.6</v>
      </c>
      <c r="R48" s="20">
        <v>2.769</v>
      </c>
      <c r="S48" s="24">
        <v>41141.0</v>
      </c>
    </row>
    <row r="49" ht="15.75" hidden="1" customHeight="1">
      <c r="A49" s="25" t="s">
        <v>73</v>
      </c>
      <c r="B49" s="26" t="s">
        <v>77</v>
      </c>
      <c r="C49" s="28">
        <v>245815.0</v>
      </c>
      <c r="D49" s="29">
        <v>17885.0</v>
      </c>
      <c r="E49" s="29">
        <v>10055.0</v>
      </c>
      <c r="F49" s="30">
        <f t="shared" si="1"/>
        <v>0.5622029634</v>
      </c>
      <c r="G49" s="30" t="str">
        <f t="shared" si="2"/>
        <v>POOR</v>
      </c>
      <c r="H49" s="27">
        <v>3.0</v>
      </c>
      <c r="I49" s="27">
        <v>155.0</v>
      </c>
      <c r="J49" s="27" t="str">
        <f t="array" ref="J49">IFS(I49&gt;299,"High HP",I49&gt;99,"Medium HP",I49&lt;100,"Low HP")</f>
        <v>Medium HP</v>
      </c>
      <c r="K49" s="27" t="s">
        <v>21</v>
      </c>
      <c r="L49" s="27">
        <v>24.0</v>
      </c>
      <c r="M49" s="27">
        <v>62.5037395</v>
      </c>
      <c r="N49" s="27">
        <v>16.0</v>
      </c>
      <c r="O49" s="27">
        <v>108.5</v>
      </c>
      <c r="P49" s="27">
        <v>73.0</v>
      </c>
      <c r="Q49" s="27">
        <v>197.6</v>
      </c>
      <c r="R49" s="27">
        <v>3.368</v>
      </c>
      <c r="S49" s="31">
        <v>40897.0</v>
      </c>
    </row>
    <row r="50" ht="15.75" hidden="1" customHeight="1">
      <c r="A50" s="18" t="s">
        <v>73</v>
      </c>
      <c r="B50" s="19" t="s">
        <v>78</v>
      </c>
      <c r="C50" s="21">
        <v>175670.0</v>
      </c>
      <c r="D50" s="22">
        <v>12315.0</v>
      </c>
      <c r="E50" s="22">
        <v>8670.0</v>
      </c>
      <c r="F50" s="23">
        <f t="shared" si="1"/>
        <v>0.7040194884</v>
      </c>
      <c r="G50" s="23" t="str">
        <f t="shared" si="2"/>
        <v>GOOD</v>
      </c>
      <c r="H50" s="20">
        <v>2.0</v>
      </c>
      <c r="I50" s="20">
        <v>107.0</v>
      </c>
      <c r="J50" s="20" t="str">
        <f t="array" ref="J50">IFS(I50&gt;299,"High HP",I50&gt;99,"Medium HP",I50&lt;100,"Low HP")</f>
        <v>Medium HP</v>
      </c>
      <c r="K50" s="20" t="s">
        <v>21</v>
      </c>
      <c r="L50" s="20">
        <v>30.0</v>
      </c>
      <c r="M50" s="20">
        <v>43.11713201</v>
      </c>
      <c r="N50" s="20">
        <v>13.2</v>
      </c>
      <c r="O50" s="20">
        <v>103.0</v>
      </c>
      <c r="P50" s="20">
        <v>66.9</v>
      </c>
      <c r="Q50" s="20">
        <v>174.8</v>
      </c>
      <c r="R50" s="20">
        <v>2.564</v>
      </c>
      <c r="S50" s="24">
        <v>41112.0</v>
      </c>
    </row>
    <row r="51" ht="15.75" hidden="1" customHeight="1">
      <c r="A51" s="25" t="s">
        <v>73</v>
      </c>
      <c r="B51" s="26" t="s">
        <v>79</v>
      </c>
      <c r="C51" s="28">
        <v>63403.0</v>
      </c>
      <c r="D51" s="29">
        <v>22195.0</v>
      </c>
      <c r="E51" s="29">
        <v>14210.0</v>
      </c>
      <c r="F51" s="30">
        <f t="shared" si="1"/>
        <v>0.640234287</v>
      </c>
      <c r="G51" s="30" t="str">
        <f t="shared" si="2"/>
        <v>POOR</v>
      </c>
      <c r="H51" s="27">
        <v>4.6</v>
      </c>
      <c r="I51" s="27">
        <v>200.0</v>
      </c>
      <c r="J51" s="27" t="str">
        <f t="array" ref="J51">IFS(I51&gt;299,"High HP",I51&gt;99,"Medium HP",I51&lt;100,"Low HP")</f>
        <v>Medium HP</v>
      </c>
      <c r="K51" s="27" t="s">
        <v>21</v>
      </c>
      <c r="L51" s="27">
        <v>21.0</v>
      </c>
      <c r="M51" s="27">
        <v>80.49953671</v>
      </c>
      <c r="N51" s="27">
        <v>19.0</v>
      </c>
      <c r="O51" s="27">
        <v>114.7</v>
      </c>
      <c r="P51" s="27">
        <v>78.2</v>
      </c>
      <c r="Q51" s="27">
        <v>212.0</v>
      </c>
      <c r="R51" s="27">
        <v>3.908</v>
      </c>
      <c r="S51" s="31">
        <v>40812.0</v>
      </c>
    </row>
    <row r="52" ht="15.75" hidden="1" customHeight="1">
      <c r="A52" s="18" t="s">
        <v>73</v>
      </c>
      <c r="B52" s="19" t="s">
        <v>80</v>
      </c>
      <c r="C52" s="21">
        <v>276747.0</v>
      </c>
      <c r="D52" s="22">
        <v>31930.0</v>
      </c>
      <c r="E52" s="22">
        <v>16640.0</v>
      </c>
      <c r="F52" s="23">
        <f t="shared" si="1"/>
        <v>0.5211399937</v>
      </c>
      <c r="G52" s="23" t="str">
        <f t="shared" si="2"/>
        <v>POOR</v>
      </c>
      <c r="H52" s="20">
        <v>4.0</v>
      </c>
      <c r="I52" s="20">
        <v>210.0</v>
      </c>
      <c r="J52" s="20" t="str">
        <f t="array" ref="J52">IFS(I52&gt;299,"High HP",I52&gt;99,"Medium HP",I52&lt;100,"Low HP")</f>
        <v>Medium HP</v>
      </c>
      <c r="K52" s="20" t="s">
        <v>43</v>
      </c>
      <c r="L52" s="20">
        <v>19.0</v>
      </c>
      <c r="M52" s="20">
        <v>87.63549578</v>
      </c>
      <c r="N52" s="20">
        <v>21.0</v>
      </c>
      <c r="O52" s="20">
        <v>111.6</v>
      </c>
      <c r="P52" s="20">
        <v>70.2</v>
      </c>
      <c r="Q52" s="20">
        <v>190.7</v>
      </c>
      <c r="R52" s="20">
        <v>3.876</v>
      </c>
      <c r="S52" s="24">
        <v>41024.0</v>
      </c>
    </row>
    <row r="53" ht="15.75" hidden="1" customHeight="1">
      <c r="A53" s="25" t="s">
        <v>73</v>
      </c>
      <c r="B53" s="26" t="s">
        <v>81</v>
      </c>
      <c r="C53" s="28">
        <v>155787.0</v>
      </c>
      <c r="D53" s="29">
        <v>21410.0</v>
      </c>
      <c r="E53" s="29">
        <v>13175.0</v>
      </c>
      <c r="F53" s="30">
        <f t="shared" si="1"/>
        <v>0.6153666511</v>
      </c>
      <c r="G53" s="30" t="str">
        <f t="shared" si="2"/>
        <v>POOR</v>
      </c>
      <c r="H53" s="27">
        <v>3.0</v>
      </c>
      <c r="I53" s="27">
        <v>150.0</v>
      </c>
      <c r="J53" s="27" t="str">
        <f t="array" ref="J53">IFS(I53&gt;299,"High HP",I53&gt;99,"Medium HP",I53&lt;100,"Low HP")</f>
        <v>Medium HP</v>
      </c>
      <c r="K53" s="27" t="s">
        <v>43</v>
      </c>
      <c r="L53" s="27">
        <v>21.0</v>
      </c>
      <c r="M53" s="27">
        <v>62.09504839</v>
      </c>
      <c r="N53" s="27">
        <v>26.0</v>
      </c>
      <c r="O53" s="27">
        <v>120.7</v>
      </c>
      <c r="P53" s="27">
        <v>76.6</v>
      </c>
      <c r="Q53" s="27">
        <v>200.9</v>
      </c>
      <c r="R53" s="27">
        <v>3.761</v>
      </c>
      <c r="S53" s="31">
        <v>40964.0</v>
      </c>
    </row>
    <row r="54" ht="15.75" hidden="1" customHeight="1">
      <c r="A54" s="18" t="s">
        <v>73</v>
      </c>
      <c r="B54" s="19" t="s">
        <v>82</v>
      </c>
      <c r="C54" s="21">
        <v>125338.0</v>
      </c>
      <c r="D54" s="22">
        <v>36135.0</v>
      </c>
      <c r="E54" s="22">
        <v>23575.0</v>
      </c>
      <c r="F54" s="23">
        <f t="shared" si="1"/>
        <v>0.6524145565</v>
      </c>
      <c r="G54" s="23" t="str">
        <f t="shared" si="2"/>
        <v>POOR</v>
      </c>
      <c r="H54" s="20">
        <v>4.6</v>
      </c>
      <c r="I54" s="20">
        <v>240.0</v>
      </c>
      <c r="J54" s="20" t="str">
        <f t="array" ref="J54">IFS(I54&gt;299,"High HP",I54&gt;99,"Medium HP",I54&lt;100,"Low HP")</f>
        <v>Medium HP</v>
      </c>
      <c r="K54" s="20" t="s">
        <v>43</v>
      </c>
      <c r="L54" s="20">
        <v>16.0</v>
      </c>
      <c r="M54" s="20">
        <v>100.0248023</v>
      </c>
      <c r="N54" s="20">
        <v>26.0</v>
      </c>
      <c r="O54" s="20">
        <v>119.0</v>
      </c>
      <c r="P54" s="20">
        <v>78.7</v>
      </c>
      <c r="Q54" s="20">
        <v>204.6</v>
      </c>
      <c r="R54" s="20">
        <v>4.808</v>
      </c>
      <c r="S54" s="24">
        <v>41166.0</v>
      </c>
    </row>
    <row r="55" ht="15.75" hidden="1" customHeight="1">
      <c r="A55" s="25" t="s">
        <v>73</v>
      </c>
      <c r="B55" s="26" t="s">
        <v>83</v>
      </c>
      <c r="C55" s="28">
        <v>220650.0</v>
      </c>
      <c r="D55" s="29">
        <v>12050.0</v>
      </c>
      <c r="E55" s="29">
        <v>7850.0</v>
      </c>
      <c r="F55" s="30">
        <f t="shared" si="1"/>
        <v>0.6514522822</v>
      </c>
      <c r="G55" s="30" t="str">
        <f t="shared" si="2"/>
        <v>POOR</v>
      </c>
      <c r="H55" s="27">
        <v>2.5</v>
      </c>
      <c r="I55" s="27">
        <v>119.0</v>
      </c>
      <c r="J55" s="27" t="str">
        <f t="array" ref="J55">IFS(I55&gt;299,"High HP",I55&gt;99,"Medium HP",I55&lt;100,"Low HP")</f>
        <v>Medium HP</v>
      </c>
      <c r="K55" s="27" t="s">
        <v>43</v>
      </c>
      <c r="L55" s="27">
        <v>23.0</v>
      </c>
      <c r="M55" s="27">
        <v>47.38953131</v>
      </c>
      <c r="N55" s="27">
        <v>20.0</v>
      </c>
      <c r="O55" s="27">
        <v>117.5</v>
      </c>
      <c r="P55" s="27">
        <v>69.4</v>
      </c>
      <c r="Q55" s="27">
        <v>200.7</v>
      </c>
      <c r="R55" s="27">
        <v>3.086</v>
      </c>
      <c r="S55" s="31">
        <v>40922.0</v>
      </c>
    </row>
    <row r="56" ht="15.75" hidden="1" customHeight="1">
      <c r="A56" s="18" t="s">
        <v>73</v>
      </c>
      <c r="B56" s="19" t="s">
        <v>84</v>
      </c>
      <c r="C56" s="21">
        <v>540561.0</v>
      </c>
      <c r="D56" s="22">
        <v>26935.0</v>
      </c>
      <c r="E56" s="22">
        <v>15075.0</v>
      </c>
      <c r="F56" s="23">
        <f t="shared" si="1"/>
        <v>0.5596807128</v>
      </c>
      <c r="G56" s="23" t="str">
        <f t="shared" si="2"/>
        <v>POOR</v>
      </c>
      <c r="H56" s="20">
        <v>4.6</v>
      </c>
      <c r="I56" s="20">
        <v>220.0</v>
      </c>
      <c r="J56" s="20" t="str">
        <f t="array" ref="J56">IFS(I56&gt;299,"High HP",I56&gt;99,"Medium HP",I56&lt;100,"Low HP")</f>
        <v>Medium HP</v>
      </c>
      <c r="K56" s="20" t="s">
        <v>43</v>
      </c>
      <c r="L56" s="20">
        <v>18.0</v>
      </c>
      <c r="M56" s="20">
        <v>89.40193473</v>
      </c>
      <c r="N56" s="20">
        <v>25.1</v>
      </c>
      <c r="O56" s="20">
        <v>138.5</v>
      </c>
      <c r="P56" s="20">
        <v>79.1</v>
      </c>
      <c r="Q56" s="20">
        <v>224.5</v>
      </c>
      <c r="R56" s="20">
        <v>4.241</v>
      </c>
      <c r="S56" s="24">
        <v>41137.0</v>
      </c>
    </row>
    <row r="57" ht="15.75" hidden="1" customHeight="1">
      <c r="A57" s="25" t="s">
        <v>85</v>
      </c>
      <c r="B57" s="26" t="s">
        <v>86</v>
      </c>
      <c r="C57" s="28">
        <v>199685.0</v>
      </c>
      <c r="D57" s="29">
        <v>12885.0</v>
      </c>
      <c r="E57" s="29">
        <v>9850.0</v>
      </c>
      <c r="F57" s="30">
        <f t="shared" si="1"/>
        <v>0.7644547924</v>
      </c>
      <c r="G57" s="30" t="str">
        <f t="shared" si="2"/>
        <v>GOOD</v>
      </c>
      <c r="H57" s="27">
        <v>1.6</v>
      </c>
      <c r="I57" s="27">
        <v>106.0</v>
      </c>
      <c r="J57" s="27" t="str">
        <f t="array" ref="J57">IFS(I57&gt;299,"High HP",I57&gt;99,"Medium HP",I57&lt;100,"Low HP")</f>
        <v>Medium HP</v>
      </c>
      <c r="K57" s="27" t="s">
        <v>21</v>
      </c>
      <c r="L57" s="27">
        <v>32.0</v>
      </c>
      <c r="M57" s="27">
        <v>42.87909734</v>
      </c>
      <c r="N57" s="27">
        <v>11.9</v>
      </c>
      <c r="O57" s="27">
        <v>103.2</v>
      </c>
      <c r="P57" s="27">
        <v>67.1</v>
      </c>
      <c r="Q57" s="27">
        <v>175.1</v>
      </c>
      <c r="R57" s="27">
        <v>2.339</v>
      </c>
      <c r="S57" s="31">
        <v>40837.0</v>
      </c>
    </row>
    <row r="58" ht="15.75" hidden="1" customHeight="1">
      <c r="A58" s="18" t="s">
        <v>85</v>
      </c>
      <c r="B58" s="19" t="s">
        <v>87</v>
      </c>
      <c r="C58" s="21">
        <v>230902.0</v>
      </c>
      <c r="D58" s="22">
        <v>15350.0</v>
      </c>
      <c r="E58" s="22">
        <v>13210.0</v>
      </c>
      <c r="F58" s="23">
        <f t="shared" si="1"/>
        <v>0.8605863192</v>
      </c>
      <c r="G58" s="23" t="str">
        <f t="shared" si="2"/>
        <v>GOOD</v>
      </c>
      <c r="H58" s="20">
        <v>2.3</v>
      </c>
      <c r="I58" s="20">
        <v>135.0</v>
      </c>
      <c r="J58" s="20" t="str">
        <f t="array" ref="J58">IFS(I58&gt;299,"High HP",I58&gt;99,"Medium HP",I58&lt;100,"Low HP")</f>
        <v>Medium HP</v>
      </c>
      <c r="K58" s="20" t="s">
        <v>21</v>
      </c>
      <c r="L58" s="20">
        <v>27.0</v>
      </c>
      <c r="M58" s="20">
        <v>54.26954829</v>
      </c>
      <c r="N58" s="20">
        <v>17.1</v>
      </c>
      <c r="O58" s="20">
        <v>106.9</v>
      </c>
      <c r="P58" s="20">
        <v>70.3</v>
      </c>
      <c r="Q58" s="20">
        <v>188.8</v>
      </c>
      <c r="R58" s="20">
        <v>2.932</v>
      </c>
      <c r="S58" s="24">
        <v>41049.0</v>
      </c>
    </row>
    <row r="59" ht="15.75" hidden="1" customHeight="1">
      <c r="A59" s="25" t="s">
        <v>85</v>
      </c>
      <c r="B59" s="26" t="s">
        <v>88</v>
      </c>
      <c r="C59" s="28">
        <v>73203.0</v>
      </c>
      <c r="D59" s="29">
        <v>20550.0</v>
      </c>
      <c r="E59" s="29">
        <v>17710.0</v>
      </c>
      <c r="F59" s="30">
        <f t="shared" si="1"/>
        <v>0.8618004866</v>
      </c>
      <c r="G59" s="30" t="str">
        <f t="shared" si="2"/>
        <v>GOOD</v>
      </c>
      <c r="H59" s="27">
        <v>2.0</v>
      </c>
      <c r="I59" s="27">
        <v>146.0</v>
      </c>
      <c r="J59" s="27" t="str">
        <f t="array" ref="J59">IFS(I59&gt;299,"High HP",I59&gt;99,"Medium HP",I59&lt;100,"Low HP")</f>
        <v>Medium HP</v>
      </c>
      <c r="K59" s="27" t="s">
        <v>43</v>
      </c>
      <c r="L59" s="27">
        <v>24.0</v>
      </c>
      <c r="M59" s="27">
        <v>60.08796662</v>
      </c>
      <c r="N59" s="27">
        <v>15.3</v>
      </c>
      <c r="O59" s="27">
        <v>103.2</v>
      </c>
      <c r="P59" s="27">
        <v>68.9</v>
      </c>
      <c r="Q59" s="27">
        <v>177.6</v>
      </c>
      <c r="R59" s="27">
        <v>3.219</v>
      </c>
      <c r="S59" s="31">
        <v>40989.0</v>
      </c>
    </row>
    <row r="60" ht="15.75" hidden="1" customHeight="1">
      <c r="A60" s="18" t="s">
        <v>85</v>
      </c>
      <c r="B60" s="19" t="s">
        <v>89</v>
      </c>
      <c r="C60" s="21">
        <v>12855.0</v>
      </c>
      <c r="D60" s="22">
        <v>26600.0</v>
      </c>
      <c r="E60" s="22">
        <v>17525.0</v>
      </c>
      <c r="F60" s="23">
        <f t="shared" si="1"/>
        <v>0.6588345865</v>
      </c>
      <c r="G60" s="23" t="str">
        <f t="shared" si="2"/>
        <v>POOR</v>
      </c>
      <c r="H60" s="20">
        <v>3.2</v>
      </c>
      <c r="I60" s="20">
        <v>205.0</v>
      </c>
      <c r="J60" s="20" t="str">
        <f t="array" ref="J60">IFS(I60&gt;299,"High HP",I60&gt;99,"Medium HP",I60&lt;100,"Low HP")</f>
        <v>Medium HP</v>
      </c>
      <c r="K60" s="20" t="s">
        <v>43</v>
      </c>
      <c r="L60" s="20">
        <v>19.0</v>
      </c>
      <c r="M60" s="20">
        <v>83.6025008</v>
      </c>
      <c r="N60" s="20">
        <v>21.1</v>
      </c>
      <c r="O60" s="20">
        <v>106.4</v>
      </c>
      <c r="P60" s="20">
        <v>70.4</v>
      </c>
      <c r="Q60" s="20">
        <v>178.2</v>
      </c>
      <c r="R60" s="20">
        <v>3.857</v>
      </c>
      <c r="S60" s="24">
        <v>41191.0</v>
      </c>
    </row>
    <row r="61" ht="15.75" hidden="1" customHeight="1">
      <c r="A61" s="25" t="s">
        <v>85</v>
      </c>
      <c r="B61" s="26" t="s">
        <v>90</v>
      </c>
      <c r="C61" s="28">
        <v>76029.0</v>
      </c>
      <c r="D61" s="29">
        <v>26000.0</v>
      </c>
      <c r="E61" s="29">
        <v>19490.0</v>
      </c>
      <c r="F61" s="30">
        <f t="shared" si="1"/>
        <v>0.7496153846</v>
      </c>
      <c r="G61" s="30" t="str">
        <f t="shared" si="2"/>
        <v>GOOD</v>
      </c>
      <c r="H61" s="27">
        <v>3.5</v>
      </c>
      <c r="I61" s="27">
        <v>210.0</v>
      </c>
      <c r="J61" s="27" t="str">
        <f t="array" ref="J61">IFS(I61&gt;299,"High HP",I61&gt;99,"Medium HP",I61&lt;100,"Low HP")</f>
        <v>Medium HP</v>
      </c>
      <c r="K61" s="27" t="s">
        <v>43</v>
      </c>
      <c r="L61" s="27">
        <v>23.0</v>
      </c>
      <c r="M61" s="27">
        <v>85.21769134</v>
      </c>
      <c r="N61" s="27">
        <v>20.0</v>
      </c>
      <c r="O61" s="27">
        <v>118.1</v>
      </c>
      <c r="P61" s="27">
        <v>75.6</v>
      </c>
      <c r="Q61" s="27">
        <v>201.2</v>
      </c>
      <c r="R61" s="27">
        <v>4.288</v>
      </c>
      <c r="S61" s="31">
        <v>40947.0</v>
      </c>
    </row>
    <row r="62" ht="15.75" hidden="1" customHeight="1">
      <c r="A62" s="18" t="s">
        <v>91</v>
      </c>
      <c r="B62" s="19" t="s">
        <v>92</v>
      </c>
      <c r="C62" s="21">
        <v>41184.0</v>
      </c>
      <c r="D62" s="22">
        <v>9699.0</v>
      </c>
      <c r="E62" s="22">
        <v>5860.0</v>
      </c>
      <c r="F62" s="23">
        <f t="shared" si="1"/>
        <v>0.6041859986</v>
      </c>
      <c r="G62" s="23" t="str">
        <f t="shared" si="2"/>
        <v>POOR</v>
      </c>
      <c r="H62" s="20">
        <v>1.5</v>
      </c>
      <c r="I62" s="20">
        <v>92.0</v>
      </c>
      <c r="J62" s="20" t="str">
        <f t="array" ref="J62">IFS(I62&gt;299,"High HP",I62&gt;99,"Medium HP",I62&lt;100,"Low HP")</f>
        <v>Low HP</v>
      </c>
      <c r="K62" s="20" t="s">
        <v>21</v>
      </c>
      <c r="L62" s="20">
        <v>31.0</v>
      </c>
      <c r="M62" s="20">
        <v>36.67228358</v>
      </c>
      <c r="N62" s="20">
        <v>11.9</v>
      </c>
      <c r="O62" s="20">
        <v>96.1</v>
      </c>
      <c r="P62" s="20">
        <v>65.7</v>
      </c>
      <c r="Q62" s="20">
        <v>166.7</v>
      </c>
      <c r="R62" s="20">
        <v>2.24</v>
      </c>
      <c r="S62" s="24">
        <v>41162.0</v>
      </c>
    </row>
    <row r="63" ht="15.75" hidden="1" customHeight="1">
      <c r="A63" s="25" t="s">
        <v>91</v>
      </c>
      <c r="B63" s="26" t="s">
        <v>93</v>
      </c>
      <c r="C63" s="28">
        <v>66692.0</v>
      </c>
      <c r="D63" s="29">
        <v>11799.0</v>
      </c>
      <c r="E63" s="29">
        <v>7825.0</v>
      </c>
      <c r="F63" s="30">
        <f t="shared" si="1"/>
        <v>0.6631917959</v>
      </c>
      <c r="G63" s="30" t="str">
        <f t="shared" si="2"/>
        <v>POOR</v>
      </c>
      <c r="H63" s="27">
        <v>2.0</v>
      </c>
      <c r="I63" s="27">
        <v>140.0</v>
      </c>
      <c r="J63" s="27" t="str">
        <f t="array" ref="J63">IFS(I63&gt;299,"High HP",I63&gt;99,"Medium HP",I63&lt;100,"Low HP")</f>
        <v>Medium HP</v>
      </c>
      <c r="K63" s="27" t="s">
        <v>21</v>
      </c>
      <c r="L63" s="27">
        <v>27.0</v>
      </c>
      <c r="M63" s="27">
        <v>54.59004516</v>
      </c>
      <c r="N63" s="27">
        <v>14.5</v>
      </c>
      <c r="O63" s="27">
        <v>100.4</v>
      </c>
      <c r="P63" s="27">
        <v>66.9</v>
      </c>
      <c r="Q63" s="27">
        <v>174.0</v>
      </c>
      <c r="R63" s="27">
        <v>2.626</v>
      </c>
      <c r="S63" s="31">
        <v>40862.0</v>
      </c>
    </row>
    <row r="64" ht="15.75" hidden="1" customHeight="1">
      <c r="A64" s="18" t="s">
        <v>91</v>
      </c>
      <c r="B64" s="19" t="s">
        <v>94</v>
      </c>
      <c r="C64" s="21">
        <v>29450.0</v>
      </c>
      <c r="D64" s="22">
        <v>14999.0</v>
      </c>
      <c r="E64" s="22">
        <v>8910.0</v>
      </c>
      <c r="F64" s="23">
        <f t="shared" si="1"/>
        <v>0.5940396026</v>
      </c>
      <c r="G64" s="23" t="str">
        <f t="shared" si="2"/>
        <v>POOR</v>
      </c>
      <c r="H64" s="20">
        <v>2.4</v>
      </c>
      <c r="I64" s="20">
        <v>148.0</v>
      </c>
      <c r="J64" s="20" t="str">
        <f t="array" ref="J64">IFS(I64&gt;299,"High HP",I64&gt;99,"Medium HP",I64&lt;100,"Low HP")</f>
        <v>Medium HP</v>
      </c>
      <c r="K64" s="20" t="s">
        <v>21</v>
      </c>
      <c r="L64" s="20">
        <v>25.0</v>
      </c>
      <c r="M64" s="20">
        <v>58.758249</v>
      </c>
      <c r="N64" s="20">
        <v>17.2</v>
      </c>
      <c r="O64" s="20">
        <v>106.3</v>
      </c>
      <c r="P64" s="20">
        <v>71.6</v>
      </c>
      <c r="Q64" s="20">
        <v>185.4</v>
      </c>
      <c r="R64" s="20">
        <v>3.072</v>
      </c>
      <c r="S64" s="24">
        <v>41074.0</v>
      </c>
    </row>
    <row r="65" ht="15.75" hidden="1" customHeight="1">
      <c r="A65" s="25" t="s">
        <v>95</v>
      </c>
      <c r="B65" s="26" t="s">
        <v>96</v>
      </c>
      <c r="C65" s="28">
        <v>23713.0</v>
      </c>
      <c r="D65" s="29">
        <v>29465.0</v>
      </c>
      <c r="E65" s="29">
        <v>19690.0</v>
      </c>
      <c r="F65" s="30">
        <f t="shared" si="1"/>
        <v>0.6682504667</v>
      </c>
      <c r="G65" s="30" t="str">
        <f t="shared" si="2"/>
        <v>POOR</v>
      </c>
      <c r="H65" s="27">
        <v>3.0</v>
      </c>
      <c r="I65" s="27">
        <v>227.0</v>
      </c>
      <c r="J65" s="27" t="str">
        <f t="array" ref="J65">IFS(I65&gt;299,"High HP",I65&gt;99,"Medium HP",I65&lt;100,"Low HP")</f>
        <v>Medium HP</v>
      </c>
      <c r="K65" s="27" t="s">
        <v>21</v>
      </c>
      <c r="L65" s="27">
        <v>25.0</v>
      </c>
      <c r="M65" s="27">
        <v>92.43688923</v>
      </c>
      <c r="N65" s="27">
        <v>18.5</v>
      </c>
      <c r="O65" s="27">
        <v>108.3</v>
      </c>
      <c r="P65" s="27">
        <v>70.2</v>
      </c>
      <c r="Q65" s="27">
        <v>193.7</v>
      </c>
      <c r="R65" s="27">
        <v>3.342</v>
      </c>
      <c r="S65" s="31">
        <v>41014.0</v>
      </c>
    </row>
    <row r="66" ht="15.75" hidden="1" customHeight="1">
      <c r="A66" s="18" t="s">
        <v>97</v>
      </c>
      <c r="B66" s="19" t="s">
        <v>98</v>
      </c>
      <c r="C66" s="21">
        <v>15467.0</v>
      </c>
      <c r="D66" s="22">
        <v>42800.0</v>
      </c>
      <c r="E66" s="22">
        <v>33219.0</v>
      </c>
      <c r="F66" s="23">
        <f t="shared" si="1"/>
        <v>0.7761448598</v>
      </c>
      <c r="G66" s="23" t="str">
        <f t="shared" si="2"/>
        <v>GOOD</v>
      </c>
      <c r="H66" s="20">
        <v>3.0</v>
      </c>
      <c r="I66" s="20">
        <v>240.0</v>
      </c>
      <c r="J66" s="20" t="str">
        <f t="array" ref="J66">IFS(I66&gt;299,"High HP",I66&gt;99,"Medium HP",I66&lt;100,"Low HP")</f>
        <v>Medium HP</v>
      </c>
      <c r="K66" s="20" t="s">
        <v>21</v>
      </c>
      <c r="L66" s="20">
        <v>21.0</v>
      </c>
      <c r="M66" s="20">
        <v>102.1789848</v>
      </c>
      <c r="N66" s="20">
        <v>18.4</v>
      </c>
      <c r="O66" s="20">
        <v>114.5</v>
      </c>
      <c r="P66" s="20">
        <v>71.6</v>
      </c>
      <c r="Q66" s="20">
        <v>191.3</v>
      </c>
      <c r="R66" s="20">
        <v>3.65</v>
      </c>
      <c r="S66" s="24">
        <v>41216.0</v>
      </c>
    </row>
    <row r="67" ht="15.75" hidden="1" customHeight="1">
      <c r="A67" s="25" t="s">
        <v>99</v>
      </c>
      <c r="B67" s="26" t="s">
        <v>100</v>
      </c>
      <c r="C67" s="28">
        <v>55557.0</v>
      </c>
      <c r="D67" s="29">
        <v>14460.0</v>
      </c>
      <c r="E67" s="29">
        <v>13475.0</v>
      </c>
      <c r="F67" s="30">
        <f t="shared" si="1"/>
        <v>0.9318810512</v>
      </c>
      <c r="G67" s="30" t="str">
        <f t="shared" si="2"/>
        <v>GOOD</v>
      </c>
      <c r="H67" s="27">
        <v>2.5</v>
      </c>
      <c r="I67" s="27">
        <v>120.0</v>
      </c>
      <c r="J67" s="27" t="str">
        <f t="array" ref="J67">IFS(I67&gt;299,"High HP",I67&gt;99,"Medium HP",I67&lt;100,"Low HP")</f>
        <v>Medium HP</v>
      </c>
      <c r="K67" s="27" t="s">
        <v>43</v>
      </c>
      <c r="L67" s="27">
        <v>17.0</v>
      </c>
      <c r="M67" s="27">
        <v>48.67289791</v>
      </c>
      <c r="N67" s="27">
        <v>19.0</v>
      </c>
      <c r="O67" s="27">
        <v>93.4</v>
      </c>
      <c r="P67" s="27">
        <v>66.7</v>
      </c>
      <c r="Q67" s="27">
        <v>152.0</v>
      </c>
      <c r="R67" s="27">
        <v>3.045</v>
      </c>
      <c r="S67" s="31">
        <v>40972.0</v>
      </c>
    </row>
    <row r="68" ht="15.75" hidden="1" customHeight="1">
      <c r="A68" s="18" t="s">
        <v>99</v>
      </c>
      <c r="B68" s="19" t="s">
        <v>101</v>
      </c>
      <c r="C68" s="21">
        <v>80556.0</v>
      </c>
      <c r="D68" s="22">
        <v>21620.0</v>
      </c>
      <c r="E68" s="22">
        <v>13775.0</v>
      </c>
      <c r="F68" s="23">
        <f t="shared" si="1"/>
        <v>0.6371415356</v>
      </c>
      <c r="G68" s="23" t="str">
        <f t="shared" si="2"/>
        <v>POOR</v>
      </c>
      <c r="H68" s="20">
        <v>4.0</v>
      </c>
      <c r="I68" s="20">
        <v>190.0</v>
      </c>
      <c r="J68" s="20" t="str">
        <f t="array" ref="J68">IFS(I68&gt;299,"High HP",I68&gt;99,"Medium HP",I68&lt;100,"Low HP")</f>
        <v>Medium HP</v>
      </c>
      <c r="K68" s="20" t="s">
        <v>43</v>
      </c>
      <c r="L68" s="20">
        <v>20.0</v>
      </c>
      <c r="M68" s="20">
        <v>76.58443962</v>
      </c>
      <c r="N68" s="20">
        <v>20.0</v>
      </c>
      <c r="O68" s="20">
        <v>101.4</v>
      </c>
      <c r="P68" s="20">
        <v>69.4</v>
      </c>
      <c r="Q68" s="20">
        <v>167.5</v>
      </c>
      <c r="R68" s="20">
        <v>3.194</v>
      </c>
      <c r="S68" s="24">
        <v>41187.0</v>
      </c>
    </row>
    <row r="69" ht="15.75" hidden="1" customHeight="1">
      <c r="A69" s="25" t="s">
        <v>99</v>
      </c>
      <c r="B69" s="26" t="s">
        <v>102</v>
      </c>
      <c r="C69" s="28">
        <v>157040.0</v>
      </c>
      <c r="D69" s="29">
        <v>26895.0</v>
      </c>
      <c r="E69" s="29">
        <v>18810.0</v>
      </c>
      <c r="F69" s="30">
        <f t="shared" si="1"/>
        <v>0.6993865031</v>
      </c>
      <c r="G69" s="30" t="str">
        <f t="shared" si="2"/>
        <v>GOOD</v>
      </c>
      <c r="H69" s="27">
        <v>4.0</v>
      </c>
      <c r="I69" s="27">
        <v>195.0</v>
      </c>
      <c r="J69" s="27" t="str">
        <f t="array" ref="J69">IFS(I69&gt;299,"High HP",I69&gt;99,"Medium HP",I69&lt;100,"Low HP")</f>
        <v>Medium HP</v>
      </c>
      <c r="K69" s="27" t="s">
        <v>43</v>
      </c>
      <c r="L69" s="27">
        <v>19.0</v>
      </c>
      <c r="M69" s="27">
        <v>80.38777912</v>
      </c>
      <c r="N69" s="27">
        <v>20.5</v>
      </c>
      <c r="O69" s="27">
        <v>105.9</v>
      </c>
      <c r="P69" s="27">
        <v>72.3</v>
      </c>
      <c r="Q69" s="27">
        <v>181.5</v>
      </c>
      <c r="R69" s="27">
        <v>3.88</v>
      </c>
      <c r="S69" s="31">
        <v>40887.0</v>
      </c>
    </row>
    <row r="70" ht="15.75" hidden="1" customHeight="1">
      <c r="A70" s="18" t="s">
        <v>103</v>
      </c>
      <c r="B70" s="19" t="s">
        <v>104</v>
      </c>
      <c r="C70" s="21">
        <v>24072.0</v>
      </c>
      <c r="D70" s="22">
        <v>31505.0</v>
      </c>
      <c r="E70" s="22">
        <v>26975.0</v>
      </c>
      <c r="F70" s="23">
        <f t="shared" si="1"/>
        <v>0.8562132995</v>
      </c>
      <c r="G70" s="23" t="str">
        <f t="shared" si="2"/>
        <v>GOOD</v>
      </c>
      <c r="H70" s="20">
        <v>3.0</v>
      </c>
      <c r="I70" s="20">
        <v>210.0</v>
      </c>
      <c r="J70" s="20" t="str">
        <f t="array" ref="J70">IFS(I70&gt;299,"High HP",I70&gt;99,"Medium HP",I70&lt;100,"Low HP")</f>
        <v>Medium HP</v>
      </c>
      <c r="K70" s="20" t="s">
        <v>21</v>
      </c>
      <c r="L70" s="20">
        <v>23.0</v>
      </c>
      <c r="M70" s="20">
        <v>87.21100104</v>
      </c>
      <c r="N70" s="20">
        <v>18.5</v>
      </c>
      <c r="O70" s="20">
        <v>105.1</v>
      </c>
      <c r="P70" s="20">
        <v>70.5</v>
      </c>
      <c r="Q70" s="20">
        <v>190.2</v>
      </c>
      <c r="R70" s="20">
        <v>3.373</v>
      </c>
      <c r="S70" s="24">
        <v>41099.0</v>
      </c>
    </row>
    <row r="71" ht="15.75" hidden="1" customHeight="1">
      <c r="A71" s="25" t="s">
        <v>103</v>
      </c>
      <c r="B71" s="26" t="s">
        <v>105</v>
      </c>
      <c r="C71" s="28">
        <v>12698.0</v>
      </c>
      <c r="D71" s="29">
        <v>37805.0</v>
      </c>
      <c r="E71" s="29">
        <v>32075.000000000004</v>
      </c>
      <c r="F71" s="30">
        <f t="shared" si="1"/>
        <v>0.848432747</v>
      </c>
      <c r="G71" s="30" t="str">
        <f t="shared" si="2"/>
        <v>GOOD</v>
      </c>
      <c r="H71" s="27">
        <v>3.0</v>
      </c>
      <c r="I71" s="27">
        <v>225.0</v>
      </c>
      <c r="J71" s="27" t="str">
        <f t="array" ref="J71">IFS(I71&gt;299,"High HP",I71&gt;99,"Medium HP",I71&lt;100,"Low HP")</f>
        <v>Medium HP</v>
      </c>
      <c r="K71" s="27" t="s">
        <v>21</v>
      </c>
      <c r="L71" s="27">
        <v>23.0</v>
      </c>
      <c r="M71" s="27">
        <v>94.9466984</v>
      </c>
      <c r="N71" s="27">
        <v>19.8</v>
      </c>
      <c r="O71" s="27">
        <v>110.2</v>
      </c>
      <c r="P71" s="27">
        <v>70.9</v>
      </c>
      <c r="Q71" s="27">
        <v>189.2</v>
      </c>
      <c r="R71" s="27">
        <v>3.638</v>
      </c>
      <c r="S71" s="31">
        <v>41039.0</v>
      </c>
    </row>
    <row r="72" ht="15.75" hidden="1" customHeight="1">
      <c r="A72" s="18" t="s">
        <v>103</v>
      </c>
      <c r="B72" s="19" t="s">
        <v>106</v>
      </c>
      <c r="C72" s="21">
        <v>3334.0</v>
      </c>
      <c r="D72" s="22">
        <v>46305.0</v>
      </c>
      <c r="E72" s="22">
        <v>38955.0</v>
      </c>
      <c r="F72" s="23">
        <f t="shared" si="1"/>
        <v>0.8412698413</v>
      </c>
      <c r="G72" s="23" t="str">
        <f t="shared" si="2"/>
        <v>GOOD</v>
      </c>
      <c r="H72" s="20">
        <v>4.0</v>
      </c>
      <c r="I72" s="20">
        <v>300.0</v>
      </c>
      <c r="J72" s="20" t="str">
        <f t="array" ref="J72">IFS(I72&gt;299,"High HP",I72&gt;99,"Medium HP",I72&lt;100,"Low HP")</f>
        <v>High HP</v>
      </c>
      <c r="K72" s="20" t="s">
        <v>21</v>
      </c>
      <c r="L72" s="20">
        <v>21.0</v>
      </c>
      <c r="M72" s="20">
        <v>125.0133574</v>
      </c>
      <c r="N72" s="20">
        <v>19.8</v>
      </c>
      <c r="O72" s="20">
        <v>110.2</v>
      </c>
      <c r="P72" s="20">
        <v>70.9</v>
      </c>
      <c r="Q72" s="20">
        <v>189.2</v>
      </c>
      <c r="R72" s="20">
        <v>3.693</v>
      </c>
      <c r="S72" s="24">
        <v>41241.0</v>
      </c>
    </row>
    <row r="73" ht="15.75" hidden="1" customHeight="1">
      <c r="A73" s="25" t="s">
        <v>103</v>
      </c>
      <c r="B73" s="26" t="s">
        <v>107</v>
      </c>
      <c r="C73" s="28">
        <v>6375.0</v>
      </c>
      <c r="D73" s="29">
        <v>54005.0</v>
      </c>
      <c r="E73" s="29">
        <v>40375.0</v>
      </c>
      <c r="F73" s="30">
        <f t="shared" si="1"/>
        <v>0.7476159615</v>
      </c>
      <c r="G73" s="30" t="str">
        <f t="shared" si="2"/>
        <v>GOOD</v>
      </c>
      <c r="H73" s="27">
        <v>4.0</v>
      </c>
      <c r="I73" s="27">
        <v>290.0</v>
      </c>
      <c r="J73" s="27" t="str">
        <f t="array" ref="J73">IFS(I73&gt;299,"High HP",I73&gt;99,"Medium HP",I73&lt;100,"Low HP")</f>
        <v>Medium HP</v>
      </c>
      <c r="K73" s="27" t="s">
        <v>21</v>
      </c>
      <c r="L73" s="27">
        <v>22.0</v>
      </c>
      <c r="M73" s="27">
        <v>124.4467163</v>
      </c>
      <c r="N73" s="27">
        <v>22.5</v>
      </c>
      <c r="O73" s="27">
        <v>112.2</v>
      </c>
      <c r="P73" s="27">
        <v>72.0</v>
      </c>
      <c r="Q73" s="27">
        <v>196.7</v>
      </c>
      <c r="R73" s="27">
        <v>3.89</v>
      </c>
      <c r="S73" s="31">
        <v>40997.0</v>
      </c>
    </row>
    <row r="74" ht="15.75" hidden="1" customHeight="1">
      <c r="A74" s="18" t="s">
        <v>103</v>
      </c>
      <c r="B74" s="19" t="s">
        <v>108</v>
      </c>
      <c r="C74" s="21">
        <v>9126.0</v>
      </c>
      <c r="D74" s="22">
        <v>60105.0</v>
      </c>
      <c r="E74" s="22">
        <v>43870.0</v>
      </c>
      <c r="F74" s="23">
        <f t="shared" si="1"/>
        <v>0.7298893603</v>
      </c>
      <c r="G74" s="23" t="str">
        <f t="shared" si="2"/>
        <v>GOOD</v>
      </c>
      <c r="H74" s="20">
        <v>4.7</v>
      </c>
      <c r="I74" s="20">
        <v>230.0</v>
      </c>
      <c r="J74" s="20" t="str">
        <f t="array" ref="J74">IFS(I74&gt;299,"High HP",I74&gt;99,"Medium HP",I74&lt;100,"Low HP")</f>
        <v>Medium HP</v>
      </c>
      <c r="K74" s="20" t="s">
        <v>43</v>
      </c>
      <c r="L74" s="20">
        <v>15.0</v>
      </c>
      <c r="M74" s="20">
        <v>105.760458</v>
      </c>
      <c r="N74" s="20">
        <v>25.4</v>
      </c>
      <c r="O74" s="20">
        <v>112.2</v>
      </c>
      <c r="P74" s="20">
        <v>76.4</v>
      </c>
      <c r="Q74" s="20">
        <v>192.5</v>
      </c>
      <c r="R74" s="20">
        <v>5.401</v>
      </c>
      <c r="S74" s="24">
        <v>41212.0</v>
      </c>
    </row>
    <row r="75" ht="15.75" hidden="1" customHeight="1">
      <c r="A75" s="25" t="s">
        <v>103</v>
      </c>
      <c r="B75" s="26" t="s">
        <v>109</v>
      </c>
      <c r="C75" s="28">
        <v>51238.0</v>
      </c>
      <c r="D75" s="29">
        <v>34605.0</v>
      </c>
      <c r="E75" s="29">
        <v>29140.0</v>
      </c>
      <c r="F75" s="30">
        <f t="shared" si="1"/>
        <v>0.8420748447</v>
      </c>
      <c r="G75" s="30" t="str">
        <f t="shared" si="2"/>
        <v>GOOD</v>
      </c>
      <c r="H75" s="27">
        <v>3.0</v>
      </c>
      <c r="I75" s="27">
        <v>220.0</v>
      </c>
      <c r="J75" s="27" t="str">
        <f t="array" ref="J75">IFS(I75&gt;299,"High HP",I75&gt;99,"Medium HP",I75&lt;100,"Low HP")</f>
        <v>Medium HP</v>
      </c>
      <c r="K75" s="27" t="s">
        <v>43</v>
      </c>
      <c r="L75" s="27">
        <v>21.0</v>
      </c>
      <c r="M75" s="27">
        <v>91.94380156</v>
      </c>
      <c r="N75" s="27">
        <v>17.2</v>
      </c>
      <c r="O75" s="27">
        <v>103.0</v>
      </c>
      <c r="P75" s="27">
        <v>71.5</v>
      </c>
      <c r="Q75" s="27">
        <v>180.1</v>
      </c>
      <c r="R75" s="27">
        <v>3.9</v>
      </c>
      <c r="S75" s="31">
        <v>40912.0</v>
      </c>
    </row>
    <row r="76" ht="15.75" hidden="1" customHeight="1">
      <c r="A76" s="18" t="s">
        <v>110</v>
      </c>
      <c r="B76" s="19" t="s">
        <v>111</v>
      </c>
      <c r="C76" s="21">
        <v>13798.0</v>
      </c>
      <c r="D76" s="22">
        <v>39080.0</v>
      </c>
      <c r="E76" s="22">
        <v>20525.0</v>
      </c>
      <c r="F76" s="23">
        <f t="shared" si="1"/>
        <v>0.5252047083</v>
      </c>
      <c r="G76" s="23" t="str">
        <f t="shared" si="2"/>
        <v>POOR</v>
      </c>
      <c r="H76" s="20">
        <v>4.6</v>
      </c>
      <c r="I76" s="20">
        <v>275.0</v>
      </c>
      <c r="J76" s="20" t="str">
        <f t="array" ref="J76">IFS(I76&gt;299,"High HP",I76&gt;99,"Medium HP",I76&lt;100,"Low HP")</f>
        <v>Medium HP</v>
      </c>
      <c r="K76" s="20" t="s">
        <v>21</v>
      </c>
      <c r="L76" s="20">
        <v>22.0</v>
      </c>
      <c r="M76" s="20">
        <v>113.5402069</v>
      </c>
      <c r="N76" s="20">
        <v>20.0</v>
      </c>
      <c r="O76" s="20">
        <v>109.0</v>
      </c>
      <c r="P76" s="20">
        <v>73.6</v>
      </c>
      <c r="Q76" s="20">
        <v>208.5</v>
      </c>
      <c r="R76" s="20">
        <v>3.868</v>
      </c>
      <c r="S76" s="24">
        <v>41124.0</v>
      </c>
    </row>
    <row r="77" ht="15.75" hidden="1" customHeight="1">
      <c r="A77" s="25" t="s">
        <v>110</v>
      </c>
      <c r="B77" s="26" t="s">
        <v>112</v>
      </c>
      <c r="C77" s="28">
        <v>48911.0</v>
      </c>
      <c r="D77" s="29">
        <v>43330.0</v>
      </c>
      <c r="E77" s="29">
        <v>21725.0</v>
      </c>
      <c r="F77" s="30">
        <f t="shared" si="1"/>
        <v>0.5013847219</v>
      </c>
      <c r="G77" s="30" t="str">
        <f t="shared" si="2"/>
        <v>POOR</v>
      </c>
      <c r="H77" s="27">
        <v>4.6</v>
      </c>
      <c r="I77" s="27">
        <v>215.0</v>
      </c>
      <c r="J77" s="27" t="str">
        <f t="array" ref="J77">IFS(I77&gt;299,"High HP",I77&gt;99,"Medium HP",I77&lt;100,"Low HP")</f>
        <v>Medium HP</v>
      </c>
      <c r="K77" s="27" t="s">
        <v>21</v>
      </c>
      <c r="L77" s="27">
        <v>21.0</v>
      </c>
      <c r="M77" s="27">
        <v>93.9579169</v>
      </c>
      <c r="N77" s="27">
        <v>19.0</v>
      </c>
      <c r="O77" s="27">
        <v>117.7</v>
      </c>
      <c r="P77" s="27">
        <v>78.2</v>
      </c>
      <c r="Q77" s="27">
        <v>215.3</v>
      </c>
      <c r="R77" s="27">
        <v>4.121</v>
      </c>
      <c r="S77" s="31">
        <v>41064.0</v>
      </c>
    </row>
    <row r="78" ht="15.75" hidden="1" customHeight="1">
      <c r="A78" s="18" t="s">
        <v>110</v>
      </c>
      <c r="B78" s="19" t="s">
        <v>113</v>
      </c>
      <c r="C78" s="21">
        <v>22925.0</v>
      </c>
      <c r="D78" s="22">
        <v>42660.0</v>
      </c>
      <c r="E78" s="22">
        <v>20765.0</v>
      </c>
      <c r="F78" s="23">
        <f t="shared" si="1"/>
        <v>0.4867557431</v>
      </c>
      <c r="G78" s="23" t="str">
        <f t="shared" si="2"/>
        <v>POOR</v>
      </c>
      <c r="H78" s="20">
        <v>5.4</v>
      </c>
      <c r="I78" s="20">
        <v>300.0</v>
      </c>
      <c r="J78" s="20" t="str">
        <f t="array" ref="J78">IFS(I78&gt;299,"High HP",I78&gt;99,"Medium HP",I78&lt;100,"Low HP")</f>
        <v>High HP</v>
      </c>
      <c r="K78" s="20" t="s">
        <v>43</v>
      </c>
      <c r="L78" s="20">
        <v>15.0</v>
      </c>
      <c r="M78" s="20">
        <v>123.9720467</v>
      </c>
      <c r="N78" s="20">
        <v>30.0</v>
      </c>
      <c r="O78" s="20">
        <v>119.0</v>
      </c>
      <c r="P78" s="20">
        <v>79.9</v>
      </c>
      <c r="Q78" s="20">
        <v>204.8</v>
      </c>
      <c r="R78" s="20">
        <v>5.393</v>
      </c>
      <c r="S78" s="24">
        <v>41266.0</v>
      </c>
    </row>
    <row r="79" ht="15.75" hidden="1" customHeight="1">
      <c r="A79" s="25" t="s">
        <v>114</v>
      </c>
      <c r="B79" s="26" t="s">
        <v>115</v>
      </c>
      <c r="C79" s="28">
        <v>26232.0</v>
      </c>
      <c r="D79" s="29">
        <v>13987.0</v>
      </c>
      <c r="E79" s="29">
        <v>8325.0</v>
      </c>
      <c r="F79" s="30">
        <f t="shared" si="1"/>
        <v>0.5951955387</v>
      </c>
      <c r="G79" s="30" t="str">
        <f t="shared" si="2"/>
        <v>POOR</v>
      </c>
      <c r="H79" s="27">
        <v>1.8</v>
      </c>
      <c r="I79" s="27">
        <v>113.0</v>
      </c>
      <c r="J79" s="27" t="str">
        <f t="array" ref="J79">IFS(I79&gt;299,"High HP",I79&gt;99,"Medium HP",I79&lt;100,"Low HP")</f>
        <v>Medium HP</v>
      </c>
      <c r="K79" s="27" t="s">
        <v>21</v>
      </c>
      <c r="L79" s="27">
        <v>30.0</v>
      </c>
      <c r="M79" s="27">
        <v>45.83218056</v>
      </c>
      <c r="N79" s="27">
        <v>13.2</v>
      </c>
      <c r="O79" s="27">
        <v>98.4</v>
      </c>
      <c r="P79" s="27">
        <v>66.5</v>
      </c>
      <c r="Q79" s="27">
        <v>173.6</v>
      </c>
      <c r="R79" s="27">
        <v>2.25</v>
      </c>
      <c r="S79" s="31">
        <v>41022.0</v>
      </c>
    </row>
    <row r="80" ht="15.75" hidden="1" customHeight="1">
      <c r="A80" s="18" t="s">
        <v>114</v>
      </c>
      <c r="B80" s="19" t="s">
        <v>116</v>
      </c>
      <c r="C80" s="21">
        <v>42541.0</v>
      </c>
      <c r="D80" s="22">
        <v>19047.0</v>
      </c>
      <c r="E80" s="22">
        <v>10395.0</v>
      </c>
      <c r="F80" s="23">
        <f t="shared" si="1"/>
        <v>0.545755237</v>
      </c>
      <c r="G80" s="23" t="str">
        <f t="shared" si="2"/>
        <v>POOR</v>
      </c>
      <c r="H80" s="20">
        <v>2.4</v>
      </c>
      <c r="I80" s="20">
        <v>154.0</v>
      </c>
      <c r="J80" s="20" t="str">
        <f t="array" ref="J80">IFS(I80&gt;299,"High HP",I80&gt;99,"Medium HP",I80&lt;100,"Low HP")</f>
        <v>Medium HP</v>
      </c>
      <c r="K80" s="20" t="s">
        <v>21</v>
      </c>
      <c r="L80" s="20">
        <v>24.0</v>
      </c>
      <c r="M80" s="20">
        <v>62.44196235</v>
      </c>
      <c r="N80" s="20">
        <v>15.9</v>
      </c>
      <c r="O80" s="20">
        <v>100.8</v>
      </c>
      <c r="P80" s="20">
        <v>68.9</v>
      </c>
      <c r="Q80" s="20">
        <v>175.4</v>
      </c>
      <c r="R80" s="20">
        <v>2.91</v>
      </c>
      <c r="S80" s="24">
        <v>41237.0</v>
      </c>
    </row>
    <row r="81" ht="15.75" hidden="1" customHeight="1">
      <c r="A81" s="25" t="s">
        <v>114</v>
      </c>
      <c r="B81" s="26" t="s">
        <v>117</v>
      </c>
      <c r="C81" s="28">
        <v>55616.0</v>
      </c>
      <c r="D81" s="29">
        <v>17357.0</v>
      </c>
      <c r="E81" s="29">
        <v>10595.0</v>
      </c>
      <c r="F81" s="30">
        <f t="shared" si="1"/>
        <v>0.6104165466</v>
      </c>
      <c r="G81" s="30" t="str">
        <f t="shared" si="2"/>
        <v>POOR</v>
      </c>
      <c r="H81" s="27">
        <v>2.4</v>
      </c>
      <c r="I81" s="27">
        <v>145.0</v>
      </c>
      <c r="J81" s="27" t="str">
        <f t="array" ref="J81">IFS(I81&gt;299,"High HP",I81&gt;99,"Medium HP",I81&lt;100,"Low HP")</f>
        <v>Medium HP</v>
      </c>
      <c r="K81" s="27" t="s">
        <v>21</v>
      </c>
      <c r="L81" s="27">
        <v>25.0</v>
      </c>
      <c r="M81" s="27">
        <v>58.60677292</v>
      </c>
      <c r="N81" s="27">
        <v>16.3</v>
      </c>
      <c r="O81" s="27">
        <v>103.7</v>
      </c>
      <c r="P81" s="27">
        <v>68.5</v>
      </c>
      <c r="Q81" s="27">
        <v>187.8</v>
      </c>
      <c r="R81" s="27">
        <v>2.945</v>
      </c>
      <c r="S81" s="31">
        <v>40937.0</v>
      </c>
    </row>
    <row r="82" ht="15.75" hidden="1" customHeight="1">
      <c r="A82" s="18" t="s">
        <v>114</v>
      </c>
      <c r="B82" s="19" t="s">
        <v>118</v>
      </c>
      <c r="C82" s="21">
        <v>5711.0</v>
      </c>
      <c r="D82" s="22">
        <v>24997.0</v>
      </c>
      <c r="E82" s="22">
        <v>16575.0</v>
      </c>
      <c r="F82" s="23">
        <f t="shared" si="1"/>
        <v>0.6630795695</v>
      </c>
      <c r="G82" s="23" t="str">
        <f t="shared" si="2"/>
        <v>POOR</v>
      </c>
      <c r="H82" s="20">
        <v>3.5</v>
      </c>
      <c r="I82" s="20">
        <v>210.0</v>
      </c>
      <c r="J82" s="20" t="str">
        <f t="array" ref="J82">IFS(I82&gt;299,"High HP",I82&gt;99,"Medium HP",I82&lt;100,"Low HP")</f>
        <v>Medium HP</v>
      </c>
      <c r="K82" s="20" t="s">
        <v>21</v>
      </c>
      <c r="L82" s="20">
        <v>22.0</v>
      </c>
      <c r="M82" s="20">
        <v>84.83077858</v>
      </c>
      <c r="N82" s="20">
        <v>19.0</v>
      </c>
      <c r="O82" s="20">
        <v>107.1</v>
      </c>
      <c r="P82" s="20">
        <v>70.3</v>
      </c>
      <c r="Q82" s="20">
        <v>194.1</v>
      </c>
      <c r="R82" s="20">
        <v>3.443</v>
      </c>
      <c r="S82" s="24">
        <v>41149.0</v>
      </c>
    </row>
    <row r="83" ht="15.75" hidden="1" customHeight="1">
      <c r="A83" s="25" t="s">
        <v>114</v>
      </c>
      <c r="B83" s="26" t="s">
        <v>119</v>
      </c>
      <c r="C83" s="28">
        <v>110.0</v>
      </c>
      <c r="D83" s="29">
        <v>25450.0</v>
      </c>
      <c r="E83" s="29">
        <v>20940.0</v>
      </c>
      <c r="F83" s="30">
        <f t="shared" si="1"/>
        <v>0.8227897839</v>
      </c>
      <c r="G83" s="30" t="str">
        <f t="shared" si="2"/>
        <v>GOOD</v>
      </c>
      <c r="H83" s="27">
        <v>3.0</v>
      </c>
      <c r="I83" s="27">
        <v>161.0</v>
      </c>
      <c r="J83" s="27" t="str">
        <f t="array" ref="J83">IFS(I83&gt;299,"High HP",I83&gt;99,"Medium HP",I83&lt;100,"Low HP")</f>
        <v>Medium HP</v>
      </c>
      <c r="K83" s="27" t="s">
        <v>21</v>
      </c>
      <c r="L83" s="27">
        <v>21.0</v>
      </c>
      <c r="M83" s="27">
        <v>67.54415494</v>
      </c>
      <c r="N83" s="27">
        <v>19.8</v>
      </c>
      <c r="O83" s="27">
        <v>97.2</v>
      </c>
      <c r="P83" s="27">
        <v>72.4</v>
      </c>
      <c r="Q83" s="27">
        <v>180.3</v>
      </c>
      <c r="R83" s="27">
        <v>3.131</v>
      </c>
      <c r="S83" s="31">
        <v>41089.0</v>
      </c>
    </row>
    <row r="84" ht="15.75" hidden="1" customHeight="1">
      <c r="A84" s="18" t="s">
        <v>114</v>
      </c>
      <c r="B84" s="19" t="s">
        <v>120</v>
      </c>
      <c r="C84" s="21">
        <v>11337.0</v>
      </c>
      <c r="D84" s="22">
        <v>31807.0</v>
      </c>
      <c r="E84" s="22">
        <v>19125.0</v>
      </c>
      <c r="F84" s="23">
        <f t="shared" si="1"/>
        <v>0.6012827365</v>
      </c>
      <c r="G84" s="23" t="str">
        <f t="shared" si="2"/>
        <v>POOR</v>
      </c>
      <c r="H84" s="20">
        <v>3.5</v>
      </c>
      <c r="I84" s="20">
        <v>200.0</v>
      </c>
      <c r="J84" s="20" t="str">
        <f t="array" ref="J84">IFS(I84&gt;299,"High HP",I84&gt;99,"Medium HP",I84&lt;100,"Low HP")</f>
        <v>Medium HP</v>
      </c>
      <c r="K84" s="20" t="s">
        <v>43</v>
      </c>
      <c r="L84" s="20">
        <v>18.0</v>
      </c>
      <c r="M84" s="20">
        <v>83.92081504</v>
      </c>
      <c r="N84" s="20">
        <v>24.3</v>
      </c>
      <c r="O84" s="20">
        <v>107.3</v>
      </c>
      <c r="P84" s="20">
        <v>69.9</v>
      </c>
      <c r="Q84" s="20">
        <v>186.6</v>
      </c>
      <c r="R84" s="20">
        <v>4.52</v>
      </c>
      <c r="S84" s="24">
        <v>40925.0</v>
      </c>
    </row>
    <row r="85" ht="15.75" hidden="1" customHeight="1">
      <c r="A85" s="25" t="s">
        <v>114</v>
      </c>
      <c r="B85" s="26" t="s">
        <v>121</v>
      </c>
      <c r="C85" s="28">
        <v>39348.0</v>
      </c>
      <c r="D85" s="29">
        <v>22527.0</v>
      </c>
      <c r="E85" s="29">
        <v>13880.0</v>
      </c>
      <c r="F85" s="30">
        <f t="shared" si="1"/>
        <v>0.6161495095</v>
      </c>
      <c r="G85" s="30" t="str">
        <f t="shared" si="2"/>
        <v>POOR</v>
      </c>
      <c r="H85" s="27">
        <v>3.0</v>
      </c>
      <c r="I85" s="27">
        <v>173.0</v>
      </c>
      <c r="J85" s="27" t="str">
        <f t="array" ref="J85">IFS(I85&gt;299,"High HP",I85&gt;99,"Medium HP",I85&lt;100,"Low HP")</f>
        <v>Medium HP</v>
      </c>
      <c r="K85" s="27" t="s">
        <v>43</v>
      </c>
      <c r="L85" s="27">
        <v>20.0</v>
      </c>
      <c r="M85" s="27">
        <v>70.66094179</v>
      </c>
      <c r="N85" s="27">
        <v>19.5</v>
      </c>
      <c r="O85" s="27">
        <v>107.3</v>
      </c>
      <c r="P85" s="27">
        <v>66.7</v>
      </c>
      <c r="Q85" s="27">
        <v>178.3</v>
      </c>
      <c r="R85" s="27">
        <v>3.51</v>
      </c>
      <c r="S85" s="31">
        <v>41047.0</v>
      </c>
    </row>
    <row r="86" ht="15.75" hidden="1" customHeight="1">
      <c r="A86" s="18" t="s">
        <v>122</v>
      </c>
      <c r="B86" s="19" t="s">
        <v>123</v>
      </c>
      <c r="C86" s="21">
        <v>14351.0</v>
      </c>
      <c r="D86" s="22">
        <v>16239.999999999998</v>
      </c>
      <c r="E86" s="22">
        <v>8800.0</v>
      </c>
      <c r="F86" s="23">
        <f t="shared" si="1"/>
        <v>0.5418719212</v>
      </c>
      <c r="G86" s="23" t="str">
        <f t="shared" si="2"/>
        <v>POOR</v>
      </c>
      <c r="H86" s="20">
        <v>2.0</v>
      </c>
      <c r="I86" s="20">
        <v>125.0</v>
      </c>
      <c r="J86" s="20" t="str">
        <f t="array" ref="J86">IFS(I86&gt;299,"High HP",I86&gt;99,"Medium HP",I86&lt;100,"Low HP")</f>
        <v>Medium HP</v>
      </c>
      <c r="K86" s="20" t="s">
        <v>21</v>
      </c>
      <c r="L86" s="20">
        <v>28.0</v>
      </c>
      <c r="M86" s="20">
        <v>50.99774761</v>
      </c>
      <c r="N86" s="20">
        <v>15.0</v>
      </c>
      <c r="O86" s="20">
        <v>106.5</v>
      </c>
      <c r="P86" s="20">
        <v>69.1</v>
      </c>
      <c r="Q86" s="20">
        <v>184.8</v>
      </c>
      <c r="R86" s="20">
        <v>2.769</v>
      </c>
      <c r="S86" s="24">
        <v>41262.0</v>
      </c>
    </row>
    <row r="87" ht="15.75" hidden="1" customHeight="1">
      <c r="A87" s="25" t="s">
        <v>122</v>
      </c>
      <c r="B87" s="26" t="s">
        <v>124</v>
      </c>
      <c r="C87" s="28">
        <v>26529.0</v>
      </c>
      <c r="D87" s="29">
        <v>16540.0</v>
      </c>
      <c r="E87" s="29">
        <v>13890.0</v>
      </c>
      <c r="F87" s="30">
        <f t="shared" si="1"/>
        <v>0.8397823458</v>
      </c>
      <c r="G87" s="30" t="str">
        <f t="shared" si="2"/>
        <v>GOOD</v>
      </c>
      <c r="H87" s="27">
        <v>2.0</v>
      </c>
      <c r="I87" s="27">
        <v>125.0</v>
      </c>
      <c r="J87" s="27" t="str">
        <f t="array" ref="J87">IFS(I87&gt;299,"High HP",I87&gt;99,"Medium HP",I87&lt;100,"Low HP")</f>
        <v>Medium HP</v>
      </c>
      <c r="K87" s="27" t="s">
        <v>21</v>
      </c>
      <c r="L87" s="27">
        <v>30.0</v>
      </c>
      <c r="M87" s="27">
        <v>51.11347426</v>
      </c>
      <c r="N87" s="27">
        <v>16.0</v>
      </c>
      <c r="O87" s="27">
        <v>106.4</v>
      </c>
      <c r="P87" s="27">
        <v>69.6</v>
      </c>
      <c r="Q87" s="27">
        <v>185.0</v>
      </c>
      <c r="R87" s="27">
        <v>2.892</v>
      </c>
      <c r="S87" s="31">
        <v>40962.0</v>
      </c>
    </row>
    <row r="88" ht="15.75" hidden="1" customHeight="1">
      <c r="A88" s="18" t="s">
        <v>122</v>
      </c>
      <c r="B88" s="19" t="s">
        <v>125</v>
      </c>
      <c r="C88" s="21">
        <v>67956.0</v>
      </c>
      <c r="D88" s="22">
        <v>19035.0</v>
      </c>
      <c r="E88" s="22">
        <v>11030.0</v>
      </c>
      <c r="F88" s="23">
        <f t="shared" si="1"/>
        <v>0.5794588915</v>
      </c>
      <c r="G88" s="23" t="str">
        <f t="shared" si="2"/>
        <v>POOR</v>
      </c>
      <c r="H88" s="20">
        <v>3.0</v>
      </c>
      <c r="I88" s="20">
        <v>153.0</v>
      </c>
      <c r="J88" s="20" t="str">
        <f t="array" ref="J88">IFS(I88&gt;299,"High HP",I88&gt;99,"Medium HP",I88&lt;100,"Low HP")</f>
        <v>Medium HP</v>
      </c>
      <c r="K88" s="20" t="s">
        <v>21</v>
      </c>
      <c r="L88" s="20">
        <v>24.0</v>
      </c>
      <c r="M88" s="20">
        <v>62.23996663</v>
      </c>
      <c r="N88" s="20">
        <v>16.0</v>
      </c>
      <c r="O88" s="20">
        <v>108.5</v>
      </c>
      <c r="P88" s="20">
        <v>73.0</v>
      </c>
      <c r="Q88" s="20">
        <v>199.7</v>
      </c>
      <c r="R88" s="20">
        <v>3.379</v>
      </c>
      <c r="S88" s="24">
        <v>41174.0</v>
      </c>
    </row>
    <row r="89" ht="15.75" hidden="1" customHeight="1">
      <c r="A89" s="25" t="s">
        <v>122</v>
      </c>
      <c r="B89" s="26" t="s">
        <v>126</v>
      </c>
      <c r="C89" s="28">
        <v>81174.0</v>
      </c>
      <c r="D89" s="29">
        <v>22605.0</v>
      </c>
      <c r="E89" s="29">
        <v>14875.0</v>
      </c>
      <c r="F89" s="30">
        <f t="shared" si="1"/>
        <v>0.6580402566</v>
      </c>
      <c r="G89" s="30" t="str">
        <f t="shared" si="2"/>
        <v>POOR</v>
      </c>
      <c r="H89" s="27">
        <v>4.6</v>
      </c>
      <c r="I89" s="27">
        <v>200.0</v>
      </c>
      <c r="J89" s="27" t="str">
        <f t="array" ref="J89">IFS(I89&gt;299,"High HP",I89&gt;99,"Medium HP",I89&lt;100,"Low HP")</f>
        <v>Medium HP</v>
      </c>
      <c r="K89" s="27" t="s">
        <v>21</v>
      </c>
      <c r="L89" s="27">
        <v>21.0</v>
      </c>
      <c r="M89" s="27">
        <v>80.65769646</v>
      </c>
      <c r="N89" s="27">
        <v>19.0</v>
      </c>
      <c r="O89" s="27">
        <v>114.7</v>
      </c>
      <c r="P89" s="27">
        <v>78.2</v>
      </c>
      <c r="Q89" s="27">
        <v>212.0</v>
      </c>
      <c r="R89" s="27">
        <v>3.958</v>
      </c>
      <c r="S89" s="31">
        <v>41114.0</v>
      </c>
    </row>
    <row r="90" ht="15.75" hidden="1" customHeight="1">
      <c r="A90" s="18" t="s">
        <v>122</v>
      </c>
      <c r="B90" s="19" t="s">
        <v>127</v>
      </c>
      <c r="C90" s="21">
        <v>27609.0</v>
      </c>
      <c r="D90" s="22">
        <v>27560.0</v>
      </c>
      <c r="E90" s="22">
        <v>20430.0</v>
      </c>
      <c r="F90" s="23">
        <f t="shared" si="1"/>
        <v>0.7412917271</v>
      </c>
      <c r="G90" s="23" t="str">
        <f t="shared" si="2"/>
        <v>GOOD</v>
      </c>
      <c r="H90" s="20">
        <v>4.0</v>
      </c>
      <c r="I90" s="20">
        <v>210.0</v>
      </c>
      <c r="J90" s="20" t="str">
        <f t="array" ref="J90">IFS(I90&gt;299,"High HP",I90&gt;99,"Medium HP",I90&lt;100,"Low HP")</f>
        <v>Medium HP</v>
      </c>
      <c r="K90" s="20" t="s">
        <v>43</v>
      </c>
      <c r="L90" s="20">
        <v>18.0</v>
      </c>
      <c r="M90" s="20">
        <v>85.94974425</v>
      </c>
      <c r="N90" s="20">
        <v>21.0</v>
      </c>
      <c r="O90" s="20">
        <v>111.6</v>
      </c>
      <c r="P90" s="20">
        <v>70.2</v>
      </c>
      <c r="Q90" s="20">
        <v>190.1</v>
      </c>
      <c r="R90" s="20">
        <v>3.876</v>
      </c>
      <c r="S90" s="24">
        <v>39491.0</v>
      </c>
    </row>
    <row r="91" ht="15.75" hidden="1" customHeight="1">
      <c r="A91" s="25" t="s">
        <v>122</v>
      </c>
      <c r="B91" s="26" t="s">
        <v>128</v>
      </c>
      <c r="C91" s="28">
        <v>20380.0</v>
      </c>
      <c r="D91" s="29">
        <v>22510.0</v>
      </c>
      <c r="E91" s="29">
        <v>14795.0</v>
      </c>
      <c r="F91" s="30">
        <f t="shared" si="1"/>
        <v>0.6572634385</v>
      </c>
      <c r="G91" s="30" t="str">
        <f t="shared" si="2"/>
        <v>POOR</v>
      </c>
      <c r="H91" s="27">
        <v>3.3</v>
      </c>
      <c r="I91" s="27">
        <v>170.0</v>
      </c>
      <c r="J91" s="27" t="str">
        <f t="array" ref="J91">IFS(I91&gt;299,"High HP",I91&gt;99,"Medium HP",I91&lt;100,"Low HP")</f>
        <v>Medium HP</v>
      </c>
      <c r="K91" s="27" t="s">
        <v>43</v>
      </c>
      <c r="L91" s="27">
        <v>21.0</v>
      </c>
      <c r="M91" s="27">
        <v>69.671461</v>
      </c>
      <c r="N91" s="27">
        <v>20.0</v>
      </c>
      <c r="O91" s="27">
        <v>112.2</v>
      </c>
      <c r="P91" s="27">
        <v>74.9</v>
      </c>
      <c r="Q91" s="27">
        <v>194.7</v>
      </c>
      <c r="R91" s="27">
        <v>3.944</v>
      </c>
      <c r="S91" s="31">
        <v>40106.0</v>
      </c>
    </row>
    <row r="92" ht="15.75" hidden="1" customHeight="1">
      <c r="A92" s="18" t="s">
        <v>129</v>
      </c>
      <c r="B92" s="19" t="s">
        <v>130</v>
      </c>
      <c r="C92" s="21">
        <v>18392.0</v>
      </c>
      <c r="D92" s="22">
        <v>31750.0</v>
      </c>
      <c r="E92" s="22">
        <v>26050.0</v>
      </c>
      <c r="F92" s="23">
        <f t="shared" si="1"/>
        <v>0.8204724409</v>
      </c>
      <c r="G92" s="23" t="str">
        <f t="shared" si="2"/>
        <v>GOOD</v>
      </c>
      <c r="H92" s="20">
        <v>2.3</v>
      </c>
      <c r="I92" s="20">
        <v>185.0</v>
      </c>
      <c r="J92" s="20" t="str">
        <f t="array" ref="J92">IFS(I92&gt;299,"High HP",I92&gt;99,"Medium HP",I92&lt;100,"Low HP")</f>
        <v>Medium HP</v>
      </c>
      <c r="K92" s="20" t="s">
        <v>21</v>
      </c>
      <c r="L92" s="20">
        <v>26.0</v>
      </c>
      <c r="M92" s="20">
        <v>78.28073088</v>
      </c>
      <c r="N92" s="20">
        <v>16.4</v>
      </c>
      <c r="O92" s="20">
        <v>105.9</v>
      </c>
      <c r="P92" s="20">
        <v>67.7</v>
      </c>
      <c r="Q92" s="20">
        <v>177.4</v>
      </c>
      <c r="R92" s="20">
        <v>3.25</v>
      </c>
      <c r="S92" s="24">
        <v>40657.0</v>
      </c>
    </row>
    <row r="93" ht="15.75" hidden="1" customHeight="1">
      <c r="A93" s="25" t="s">
        <v>129</v>
      </c>
      <c r="B93" s="26" t="s">
        <v>131</v>
      </c>
      <c r="C93" s="28">
        <v>27602.0</v>
      </c>
      <c r="D93" s="29">
        <v>49900.0</v>
      </c>
      <c r="E93" s="29">
        <v>41450.0</v>
      </c>
      <c r="F93" s="30">
        <f t="shared" si="1"/>
        <v>0.8306613226</v>
      </c>
      <c r="G93" s="30" t="str">
        <f t="shared" si="2"/>
        <v>GOOD</v>
      </c>
      <c r="H93" s="27">
        <v>3.2</v>
      </c>
      <c r="I93" s="27">
        <v>221.0</v>
      </c>
      <c r="J93" s="27" t="str">
        <f t="array" ref="J93">IFS(I93&gt;299,"High HP",I93&gt;99,"Medium HP",I93&lt;100,"Low HP")</f>
        <v>Medium HP</v>
      </c>
      <c r="K93" s="27" t="s">
        <v>21</v>
      </c>
      <c r="L93" s="27">
        <v>25.0</v>
      </c>
      <c r="M93" s="27">
        <v>98.2497375</v>
      </c>
      <c r="N93" s="27">
        <v>21.1</v>
      </c>
      <c r="O93" s="27">
        <v>111.5</v>
      </c>
      <c r="P93" s="27">
        <v>70.8</v>
      </c>
      <c r="Q93" s="27">
        <v>189.4</v>
      </c>
      <c r="R93" s="27">
        <v>3.823</v>
      </c>
      <c r="S93" s="31">
        <v>40736.0</v>
      </c>
    </row>
    <row r="94" ht="15.75" hidden="1" customHeight="1">
      <c r="A94" s="18" t="s">
        <v>129</v>
      </c>
      <c r="B94" s="19" t="s">
        <v>132</v>
      </c>
      <c r="C94" s="21">
        <v>16774.0</v>
      </c>
      <c r="D94" s="22">
        <v>69700.0</v>
      </c>
      <c r="E94" s="22">
        <v>50375.0</v>
      </c>
      <c r="F94" s="23">
        <f t="shared" si="1"/>
        <v>0.7227403156</v>
      </c>
      <c r="G94" s="23" t="str">
        <f t="shared" si="2"/>
        <v>GOOD</v>
      </c>
      <c r="H94" s="20">
        <v>4.3</v>
      </c>
      <c r="I94" s="20">
        <v>275.0</v>
      </c>
      <c r="J94" s="20" t="str">
        <f t="array" ref="J94">IFS(I94&gt;299,"High HP",I94&gt;99,"Medium HP",I94&lt;100,"Low HP")</f>
        <v>Medium HP</v>
      </c>
      <c r="K94" s="20" t="s">
        <v>21</v>
      </c>
      <c r="L94" s="20">
        <v>21.0</v>
      </c>
      <c r="M94" s="20">
        <v>125.2738757</v>
      </c>
      <c r="N94" s="20">
        <v>23.2</v>
      </c>
      <c r="O94" s="20">
        <v>121.5</v>
      </c>
      <c r="P94" s="20">
        <v>73.1</v>
      </c>
      <c r="Q94" s="20">
        <v>203.1</v>
      </c>
      <c r="R94" s="20">
        <v>4.133</v>
      </c>
      <c r="S94" s="24">
        <v>40707.0</v>
      </c>
    </row>
    <row r="95" ht="15.75" hidden="1" customHeight="1">
      <c r="A95" s="25" t="s">
        <v>129</v>
      </c>
      <c r="B95" s="26" t="s">
        <v>133</v>
      </c>
      <c r="C95" s="28">
        <v>3311.0</v>
      </c>
      <c r="D95" s="29">
        <v>82600.0</v>
      </c>
      <c r="E95" s="29">
        <v>58600.0</v>
      </c>
      <c r="F95" s="30">
        <f t="shared" si="1"/>
        <v>0.7094430993</v>
      </c>
      <c r="G95" s="30" t="str">
        <f t="shared" si="2"/>
        <v>GOOD</v>
      </c>
      <c r="H95" s="27">
        <v>5.0</v>
      </c>
      <c r="I95" s="27">
        <v>302.0</v>
      </c>
      <c r="J95" s="27" t="str">
        <f t="array" ref="J95">IFS(I95&gt;299,"High HP",I95&gt;99,"Medium HP",I95&lt;100,"Low HP")</f>
        <v>High HP</v>
      </c>
      <c r="K95" s="27" t="s">
        <v>21</v>
      </c>
      <c r="L95" s="27">
        <v>20.0</v>
      </c>
      <c r="M95" s="27">
        <v>139.9822936</v>
      </c>
      <c r="N95" s="27">
        <v>21.1</v>
      </c>
      <c r="O95" s="27">
        <v>99.0</v>
      </c>
      <c r="P95" s="27">
        <v>71.3</v>
      </c>
      <c r="Q95" s="27">
        <v>177.1</v>
      </c>
      <c r="R95" s="27">
        <v>4.125</v>
      </c>
      <c r="S95" s="31">
        <v>40619.0</v>
      </c>
    </row>
    <row r="96" ht="15.75" hidden="1" customHeight="1">
      <c r="A96" s="18" t="s">
        <v>129</v>
      </c>
      <c r="B96" s="19" t="s">
        <v>134</v>
      </c>
      <c r="C96" s="21">
        <v>7998.0</v>
      </c>
      <c r="D96" s="22">
        <v>38900.0</v>
      </c>
      <c r="E96" s="22">
        <v>32436.0</v>
      </c>
      <c r="F96" s="23">
        <f t="shared" si="1"/>
        <v>0.8338303342</v>
      </c>
      <c r="G96" s="23" t="str">
        <f t="shared" si="2"/>
        <v>GOOD</v>
      </c>
      <c r="H96" s="20">
        <v>2.3</v>
      </c>
      <c r="I96" s="20">
        <v>190.0</v>
      </c>
      <c r="J96" s="20" t="str">
        <f t="array" ref="J96">IFS(I96&gt;299,"High HP",I96&gt;99,"Medium HP",I96&lt;100,"Low HP")</f>
        <v>Medium HP</v>
      </c>
      <c r="K96" s="20" t="s">
        <v>21</v>
      </c>
      <c r="L96" s="20">
        <v>26.0</v>
      </c>
      <c r="M96" s="20">
        <v>82.80736193</v>
      </c>
      <c r="N96" s="20">
        <v>15.9</v>
      </c>
      <c r="O96" s="20">
        <v>94.5</v>
      </c>
      <c r="P96" s="20">
        <v>67.5</v>
      </c>
      <c r="Q96" s="20">
        <v>157.9</v>
      </c>
      <c r="R96" s="20">
        <v>3.055</v>
      </c>
      <c r="S96" s="24">
        <v>40559.0</v>
      </c>
    </row>
    <row r="97" ht="15.75" hidden="1" customHeight="1">
      <c r="A97" s="25" t="s">
        <v>129</v>
      </c>
      <c r="B97" s="26" t="s">
        <v>135</v>
      </c>
      <c r="C97" s="28">
        <v>1526.0</v>
      </c>
      <c r="D97" s="29">
        <v>41000.0</v>
      </c>
      <c r="E97" s="29">
        <v>28635.0</v>
      </c>
      <c r="F97" s="30">
        <f t="shared" si="1"/>
        <v>0.6984146341</v>
      </c>
      <c r="G97" s="30" t="str">
        <f t="shared" si="2"/>
        <v>GOOD</v>
      </c>
      <c r="H97" s="27">
        <v>2.3</v>
      </c>
      <c r="I97" s="27">
        <v>185.0</v>
      </c>
      <c r="J97" s="27" t="str">
        <f t="array" ref="J97">IFS(I97&gt;299,"High HP",I97&gt;99,"Medium HP",I97&lt;100,"Low HP")</f>
        <v>Medium HP</v>
      </c>
      <c r="K97" s="27" t="s">
        <v>21</v>
      </c>
      <c r="L97" s="27">
        <v>27.0</v>
      </c>
      <c r="M97" s="27">
        <v>81.84896924</v>
      </c>
      <c r="N97" s="27">
        <v>14.0</v>
      </c>
      <c r="O97" s="27">
        <v>94.5</v>
      </c>
      <c r="P97" s="27">
        <v>67.5</v>
      </c>
      <c r="Q97" s="27">
        <v>157.3</v>
      </c>
      <c r="R97" s="27">
        <v>2.975</v>
      </c>
      <c r="S97" s="31">
        <v>40761.0</v>
      </c>
    </row>
    <row r="98" ht="15.75" hidden="1" customHeight="1">
      <c r="A98" s="18" t="s">
        <v>129</v>
      </c>
      <c r="B98" s="19" t="s">
        <v>136</v>
      </c>
      <c r="C98" s="21">
        <v>11592.0</v>
      </c>
      <c r="D98" s="22">
        <v>41600.0</v>
      </c>
      <c r="E98" s="22">
        <v>29200.0</v>
      </c>
      <c r="F98" s="23">
        <f t="shared" si="1"/>
        <v>0.7019230769</v>
      </c>
      <c r="G98" s="23" t="str">
        <f t="shared" si="2"/>
        <v>GOOD</v>
      </c>
      <c r="H98" s="20">
        <v>3.2</v>
      </c>
      <c r="I98" s="20">
        <v>215.0</v>
      </c>
      <c r="J98" s="20" t="str">
        <f t="array" ref="J98">IFS(I98&gt;299,"High HP",I98&gt;99,"Medium HP",I98&lt;100,"Low HP")</f>
        <v>Medium HP</v>
      </c>
      <c r="K98" s="20" t="s">
        <v>21</v>
      </c>
      <c r="L98" s="20">
        <v>26.0</v>
      </c>
      <c r="M98" s="20">
        <v>92.92579177</v>
      </c>
      <c r="N98" s="20">
        <v>16.4</v>
      </c>
      <c r="O98" s="20">
        <v>105.9</v>
      </c>
      <c r="P98" s="20">
        <v>67.8</v>
      </c>
      <c r="Q98" s="20">
        <v>180.3</v>
      </c>
      <c r="R98" s="20">
        <v>3.213</v>
      </c>
      <c r="S98" s="24">
        <v>40732.0</v>
      </c>
    </row>
    <row r="99" ht="15.75" hidden="1" customHeight="1">
      <c r="A99" s="25" t="s">
        <v>129</v>
      </c>
      <c r="B99" s="26" t="s">
        <v>137</v>
      </c>
      <c r="C99" s="28">
        <v>954.0</v>
      </c>
      <c r="D99" s="29">
        <v>85500.0</v>
      </c>
      <c r="E99" s="29">
        <v>63423.0</v>
      </c>
      <c r="F99" s="30">
        <f t="shared" si="1"/>
        <v>0.7417894737</v>
      </c>
      <c r="G99" s="30" t="str">
        <f t="shared" si="2"/>
        <v>GOOD</v>
      </c>
      <c r="H99" s="27">
        <v>5.0</v>
      </c>
      <c r="I99" s="27">
        <v>302.0</v>
      </c>
      <c r="J99" s="27" t="str">
        <f t="array" ref="J99">IFS(I99&gt;299,"High HP",I99&gt;99,"Medium HP",I99&lt;100,"Low HP")</f>
        <v>High HP</v>
      </c>
      <c r="K99" s="27" t="s">
        <v>21</v>
      </c>
      <c r="L99" s="27">
        <v>20.0</v>
      </c>
      <c r="M99" s="27">
        <v>141.1009845</v>
      </c>
      <c r="N99" s="27">
        <v>23.2</v>
      </c>
      <c r="O99" s="27">
        <v>113.6</v>
      </c>
      <c r="P99" s="27">
        <v>73.1</v>
      </c>
      <c r="Q99" s="27">
        <v>196.6</v>
      </c>
      <c r="R99" s="27">
        <v>4.115</v>
      </c>
      <c r="S99" s="31">
        <v>40644.0</v>
      </c>
    </row>
    <row r="100" ht="15.75" hidden="1" customHeight="1">
      <c r="A100" s="18" t="s">
        <v>129</v>
      </c>
      <c r="B100" s="19" t="s">
        <v>138</v>
      </c>
      <c r="C100" s="21">
        <v>28976.0</v>
      </c>
      <c r="D100" s="22">
        <v>35300.0</v>
      </c>
      <c r="E100" s="22">
        <v>28720.0</v>
      </c>
      <c r="F100" s="23">
        <f t="shared" si="1"/>
        <v>0.8135977337</v>
      </c>
      <c r="G100" s="23" t="str">
        <f t="shared" si="2"/>
        <v>GOOD</v>
      </c>
      <c r="H100" s="20">
        <v>3.2</v>
      </c>
      <c r="I100" s="20">
        <v>215.0</v>
      </c>
      <c r="J100" s="20" t="str">
        <f t="array" ref="J100">IFS(I100&gt;299,"High HP",I100&gt;99,"Medium HP",I100&lt;100,"Low HP")</f>
        <v>Medium HP</v>
      </c>
      <c r="K100" s="20" t="s">
        <v>43</v>
      </c>
      <c r="L100" s="20">
        <v>20.0</v>
      </c>
      <c r="M100" s="20">
        <v>90.49553213</v>
      </c>
      <c r="N100" s="20">
        <v>19.0</v>
      </c>
      <c r="O100" s="20">
        <v>111.0</v>
      </c>
      <c r="P100" s="20">
        <v>72.2</v>
      </c>
      <c r="Q100" s="20">
        <v>180.6</v>
      </c>
      <c r="R100" s="20">
        <v>4.387</v>
      </c>
      <c r="S100" s="24">
        <v>40584.0</v>
      </c>
    </row>
    <row r="101" ht="15.75" hidden="1" customHeight="1">
      <c r="A101" s="25" t="s">
        <v>139</v>
      </c>
      <c r="B101" s="26" t="s">
        <v>140</v>
      </c>
      <c r="C101" s="28">
        <v>42643.0</v>
      </c>
      <c r="D101" s="29">
        <v>13499.0</v>
      </c>
      <c r="E101" s="29">
        <v>8450.0</v>
      </c>
      <c r="F101" s="30">
        <f t="shared" si="1"/>
        <v>0.6259722942</v>
      </c>
      <c r="G101" s="30" t="str">
        <f t="shared" si="2"/>
        <v>POOR</v>
      </c>
      <c r="H101" s="27">
        <v>1.8</v>
      </c>
      <c r="I101" s="27">
        <v>126.0</v>
      </c>
      <c r="J101" s="27" t="str">
        <f t="array" ref="J101">IFS(I101&gt;299,"High HP",I101&gt;99,"Medium HP",I101&lt;100,"Low HP")</f>
        <v>Medium HP</v>
      </c>
      <c r="K101" s="27" t="s">
        <v>21</v>
      </c>
      <c r="L101" s="27">
        <v>30.0</v>
      </c>
      <c r="M101" s="27">
        <v>50.24197791</v>
      </c>
      <c r="N101" s="27">
        <v>13.2</v>
      </c>
      <c r="O101" s="27">
        <v>99.8</v>
      </c>
      <c r="P101" s="27">
        <v>67.3</v>
      </c>
      <c r="Q101" s="27">
        <v>177.5</v>
      </c>
      <c r="R101" s="27">
        <v>2.593</v>
      </c>
      <c r="S101" s="31">
        <v>40786.0</v>
      </c>
    </row>
    <row r="102" ht="15.75" hidden="1" customHeight="1">
      <c r="A102" s="18" t="s">
        <v>139</v>
      </c>
      <c r="B102" s="19" t="s">
        <v>141</v>
      </c>
      <c r="C102" s="21">
        <v>88094.0</v>
      </c>
      <c r="D102" s="22">
        <v>20390.0</v>
      </c>
      <c r="E102" s="22">
        <v>11295.0</v>
      </c>
      <c r="F102" s="23">
        <f t="shared" si="1"/>
        <v>0.5539480137</v>
      </c>
      <c r="G102" s="23" t="str">
        <f t="shared" si="2"/>
        <v>POOR</v>
      </c>
      <c r="H102" s="20">
        <v>2.4</v>
      </c>
      <c r="I102" s="20">
        <v>155.0</v>
      </c>
      <c r="J102" s="20" t="str">
        <f t="array" ref="J102">IFS(I102&gt;299,"High HP",I102&gt;99,"Medium HP",I102&lt;100,"Low HP")</f>
        <v>Medium HP</v>
      </c>
      <c r="K102" s="20" t="s">
        <v>21</v>
      </c>
      <c r="L102" s="20">
        <v>25.0</v>
      </c>
      <c r="M102" s="20">
        <v>63.31372783</v>
      </c>
      <c r="N102" s="20">
        <v>15.9</v>
      </c>
      <c r="O102" s="20">
        <v>103.1</v>
      </c>
      <c r="P102" s="20">
        <v>69.1</v>
      </c>
      <c r="Q102" s="20">
        <v>183.5</v>
      </c>
      <c r="R102" s="20">
        <v>3.012</v>
      </c>
      <c r="S102" s="24">
        <v>40757.0</v>
      </c>
    </row>
    <row r="103" ht="15.75" hidden="1" customHeight="1">
      <c r="A103" s="25" t="s">
        <v>139</v>
      </c>
      <c r="B103" s="26" t="s">
        <v>142</v>
      </c>
      <c r="C103" s="28">
        <v>79853.0</v>
      </c>
      <c r="D103" s="29">
        <v>26249.0</v>
      </c>
      <c r="E103" s="29">
        <v>15125.0</v>
      </c>
      <c r="F103" s="30">
        <f t="shared" si="1"/>
        <v>0.5762124271</v>
      </c>
      <c r="G103" s="30" t="str">
        <f t="shared" si="2"/>
        <v>POOR</v>
      </c>
      <c r="H103" s="27">
        <v>3.0</v>
      </c>
      <c r="I103" s="27">
        <v>222.0</v>
      </c>
      <c r="J103" s="27" t="str">
        <f t="array" ref="J103">IFS(I103&gt;299,"High HP",I103&gt;99,"Medium HP",I103&lt;100,"Low HP")</f>
        <v>Medium HP</v>
      </c>
      <c r="K103" s="27" t="s">
        <v>21</v>
      </c>
      <c r="L103" s="27">
        <v>25.0</v>
      </c>
      <c r="M103" s="27">
        <v>89.42782031</v>
      </c>
      <c r="N103" s="27">
        <v>18.5</v>
      </c>
      <c r="O103" s="27">
        <v>108.3</v>
      </c>
      <c r="P103" s="27">
        <v>70.3</v>
      </c>
      <c r="Q103" s="27">
        <v>190.5</v>
      </c>
      <c r="R103" s="27">
        <v>3.294</v>
      </c>
      <c r="S103" s="31">
        <v>40669.0</v>
      </c>
    </row>
    <row r="104" ht="15.75" hidden="1" customHeight="1">
      <c r="A104" s="18" t="s">
        <v>139</v>
      </c>
      <c r="B104" s="19" t="s">
        <v>143</v>
      </c>
      <c r="C104" s="21">
        <v>27308.0</v>
      </c>
      <c r="D104" s="22">
        <v>26399.0</v>
      </c>
      <c r="E104" s="22">
        <v>15380.0</v>
      </c>
      <c r="F104" s="23">
        <f t="shared" si="1"/>
        <v>0.5825978257</v>
      </c>
      <c r="G104" s="23" t="str">
        <f t="shared" si="2"/>
        <v>POOR</v>
      </c>
      <c r="H104" s="20">
        <v>3.3</v>
      </c>
      <c r="I104" s="20">
        <v>170.0</v>
      </c>
      <c r="J104" s="20" t="str">
        <f t="array" ref="J104">IFS(I104&gt;299,"High HP",I104&gt;99,"Medium HP",I104&lt;100,"Low HP")</f>
        <v>Medium HP</v>
      </c>
      <c r="K104" s="20" t="s">
        <v>43</v>
      </c>
      <c r="L104" s="20">
        <v>21.0</v>
      </c>
      <c r="M104" s="20">
        <v>71.17166413</v>
      </c>
      <c r="N104" s="20">
        <v>20.0</v>
      </c>
      <c r="O104" s="20">
        <v>112.2</v>
      </c>
      <c r="P104" s="20">
        <v>74.9</v>
      </c>
      <c r="Q104" s="20">
        <v>194.8</v>
      </c>
      <c r="R104" s="20">
        <v>3.991</v>
      </c>
      <c r="S104" s="24">
        <v>40609.0</v>
      </c>
    </row>
    <row r="105" ht="15.75" hidden="1" customHeight="1">
      <c r="A105" s="25" t="s">
        <v>139</v>
      </c>
      <c r="B105" s="26" t="s">
        <v>144</v>
      </c>
      <c r="C105" s="28">
        <v>42574.0</v>
      </c>
      <c r="D105" s="29">
        <v>29299.0</v>
      </c>
      <c r="E105" s="29">
        <v>17810.0</v>
      </c>
      <c r="F105" s="30">
        <f t="shared" si="1"/>
        <v>0.6078705758</v>
      </c>
      <c r="G105" s="30" t="str">
        <f t="shared" si="2"/>
        <v>POOR</v>
      </c>
      <c r="H105" s="27">
        <v>3.3</v>
      </c>
      <c r="I105" s="27">
        <v>170.0</v>
      </c>
      <c r="J105" s="27" t="str">
        <f t="array" ref="J105">IFS(I105&gt;299,"High HP",I105&gt;99,"Medium HP",I105&lt;100,"Low HP")</f>
        <v>Medium HP</v>
      </c>
      <c r="K105" s="27" t="s">
        <v>43</v>
      </c>
      <c r="L105" s="27">
        <v>19.0</v>
      </c>
      <c r="M105" s="27">
        <v>72.29035508</v>
      </c>
      <c r="N105" s="27">
        <v>21.0</v>
      </c>
      <c r="O105" s="27">
        <v>106.3</v>
      </c>
      <c r="P105" s="27">
        <v>71.7</v>
      </c>
      <c r="Q105" s="27">
        <v>182.6</v>
      </c>
      <c r="R105" s="27">
        <v>3.947</v>
      </c>
      <c r="S105" s="31">
        <v>40811.0</v>
      </c>
    </row>
    <row r="106" ht="15.75" hidden="1" customHeight="1">
      <c r="A106" s="18" t="s">
        <v>139</v>
      </c>
      <c r="B106" s="19" t="s">
        <v>145</v>
      </c>
      <c r="C106" s="21">
        <v>54158.0</v>
      </c>
      <c r="D106" s="22">
        <v>22799.0</v>
      </c>
      <c r="E106" s="22">
        <v>13093.0</v>
      </c>
      <c r="F106" s="23">
        <f t="shared" si="1"/>
        <v>0.5742795737</v>
      </c>
      <c r="G106" s="23" t="str">
        <f t="shared" si="2"/>
        <v>POOR</v>
      </c>
      <c r="H106" s="20">
        <v>3.3</v>
      </c>
      <c r="I106" s="20">
        <v>170.0</v>
      </c>
      <c r="J106" s="20" t="str">
        <f t="array" ref="J106">IFS(I106&gt;299,"High HP",I106&gt;99,"Medium HP",I106&lt;100,"Low HP")</f>
        <v>Medium HP</v>
      </c>
      <c r="K106" s="20" t="s">
        <v>43</v>
      </c>
      <c r="L106" s="20">
        <v>18.0</v>
      </c>
      <c r="M106" s="20">
        <v>69.78294434</v>
      </c>
      <c r="N106" s="20">
        <v>19.4</v>
      </c>
      <c r="O106" s="20">
        <v>104.3</v>
      </c>
      <c r="P106" s="20">
        <v>70.4</v>
      </c>
      <c r="Q106" s="20">
        <v>178.0</v>
      </c>
      <c r="R106" s="20">
        <v>3.821</v>
      </c>
      <c r="S106" s="24">
        <v>40567.0</v>
      </c>
    </row>
    <row r="107" ht="15.75" hidden="1" customHeight="1">
      <c r="A107" s="25" t="s">
        <v>139</v>
      </c>
      <c r="B107" s="26" t="s">
        <v>146</v>
      </c>
      <c r="C107" s="28">
        <v>65004.99999999999</v>
      </c>
      <c r="D107" s="29">
        <v>17890.0</v>
      </c>
      <c r="E107" s="29">
        <v>10670.0</v>
      </c>
      <c r="F107" s="30">
        <f t="shared" si="1"/>
        <v>0.5964225824</v>
      </c>
      <c r="G107" s="30" t="str">
        <f t="shared" si="2"/>
        <v>POOR</v>
      </c>
      <c r="H107" s="27">
        <v>3.3</v>
      </c>
      <c r="I107" s="27">
        <v>170.0</v>
      </c>
      <c r="J107" s="27" t="str">
        <f t="array" ref="J107">IFS(I107&gt;299,"High HP",I107&gt;99,"Medium HP",I107&lt;100,"Low HP")</f>
        <v>Medium HP</v>
      </c>
      <c r="K107" s="27" t="s">
        <v>43</v>
      </c>
      <c r="L107" s="27">
        <v>18.0</v>
      </c>
      <c r="M107" s="27">
        <v>67.88927059</v>
      </c>
      <c r="N107" s="27">
        <v>19.4</v>
      </c>
      <c r="O107" s="27">
        <v>116.1</v>
      </c>
      <c r="P107" s="27">
        <v>66.5</v>
      </c>
      <c r="Q107" s="27">
        <v>196.1</v>
      </c>
      <c r="R107" s="27">
        <v>3.217</v>
      </c>
      <c r="S107" s="31">
        <v>40782.0</v>
      </c>
    </row>
    <row r="108" ht="15.75" hidden="1" customHeight="1">
      <c r="A108" s="18" t="s">
        <v>147</v>
      </c>
      <c r="B108" s="19" t="s">
        <v>148</v>
      </c>
      <c r="C108" s="21">
        <v>1112.0</v>
      </c>
      <c r="D108" s="22">
        <v>18145.0</v>
      </c>
      <c r="E108" s="22">
        <v>11240.0</v>
      </c>
      <c r="F108" s="23">
        <f t="shared" si="1"/>
        <v>0.6194543952</v>
      </c>
      <c r="G108" s="23" t="str">
        <f t="shared" si="2"/>
        <v>POOR</v>
      </c>
      <c r="H108" s="20">
        <v>3.1</v>
      </c>
      <c r="I108" s="20">
        <v>150.0</v>
      </c>
      <c r="J108" s="20" t="str">
        <f t="array" ref="J108">IFS(I108&gt;299,"High HP",I108&gt;99,"Medium HP",I108&lt;100,"Low HP")</f>
        <v>Medium HP</v>
      </c>
      <c r="K108" s="20" t="s">
        <v>21</v>
      </c>
      <c r="L108" s="20">
        <v>25.0</v>
      </c>
      <c r="M108" s="20">
        <v>60.86161155</v>
      </c>
      <c r="N108" s="20">
        <v>15.2</v>
      </c>
      <c r="O108" s="20">
        <v>107.0</v>
      </c>
      <c r="P108" s="20">
        <v>69.4</v>
      </c>
      <c r="Q108" s="20">
        <v>192.0</v>
      </c>
      <c r="R108" s="20">
        <v>3.102</v>
      </c>
      <c r="S108" s="24">
        <v>40694.0</v>
      </c>
    </row>
    <row r="109" ht="15.75" hidden="1" customHeight="1">
      <c r="A109" s="25" t="s">
        <v>147</v>
      </c>
      <c r="B109" s="26" t="s">
        <v>149</v>
      </c>
      <c r="C109" s="28">
        <v>38554.0</v>
      </c>
      <c r="D109" s="29">
        <v>24150.0</v>
      </c>
      <c r="E109" s="29">
        <v>17100.0</v>
      </c>
      <c r="F109" s="30">
        <f t="shared" si="1"/>
        <v>0.7080745342</v>
      </c>
      <c r="G109" s="30" t="str">
        <f t="shared" si="2"/>
        <v>GOOD</v>
      </c>
      <c r="H109" s="27">
        <v>3.5</v>
      </c>
      <c r="I109" s="27">
        <v>215.0</v>
      </c>
      <c r="J109" s="27" t="str">
        <f t="array" ref="J109">IFS(I109&gt;299,"High HP",I109&gt;99,"Medium HP",I109&lt;100,"Low HP")</f>
        <v>Medium HP</v>
      </c>
      <c r="K109" s="27" t="s">
        <v>21</v>
      </c>
      <c r="L109" s="27">
        <v>23.0</v>
      </c>
      <c r="M109" s="27">
        <v>86.27252291</v>
      </c>
      <c r="N109" s="27">
        <v>18.0</v>
      </c>
      <c r="O109" s="27">
        <v>109.0</v>
      </c>
      <c r="P109" s="27">
        <v>73.6</v>
      </c>
      <c r="Q109" s="27">
        <v>195.9</v>
      </c>
      <c r="R109" s="27">
        <v>3.455</v>
      </c>
      <c r="S109" s="31">
        <v>40634.0</v>
      </c>
    </row>
    <row r="110" ht="15.75" hidden="1" customHeight="1">
      <c r="A110" s="18" t="s">
        <v>147</v>
      </c>
      <c r="B110" s="19" t="s">
        <v>150</v>
      </c>
      <c r="C110" s="21">
        <v>80255.0</v>
      </c>
      <c r="D110" s="22">
        <v>18270.0</v>
      </c>
      <c r="E110" s="22">
        <v>11459.0</v>
      </c>
      <c r="F110" s="23">
        <f t="shared" si="1"/>
        <v>0.6272030651</v>
      </c>
      <c r="G110" s="23" t="str">
        <f t="shared" si="2"/>
        <v>POOR</v>
      </c>
      <c r="H110" s="20">
        <v>2.4</v>
      </c>
      <c r="I110" s="20">
        <v>150.0</v>
      </c>
      <c r="J110" s="20" t="str">
        <f t="array" ref="J110">IFS(I110&gt;299,"High HP",I110&gt;99,"Medium HP",I110&lt;100,"Low HP")</f>
        <v>Medium HP</v>
      </c>
      <c r="K110" s="20" t="s">
        <v>21</v>
      </c>
      <c r="L110" s="20">
        <v>27.0</v>
      </c>
      <c r="M110" s="20">
        <v>60.72744693</v>
      </c>
      <c r="N110" s="20">
        <v>15.0</v>
      </c>
      <c r="O110" s="20">
        <v>107.0</v>
      </c>
      <c r="P110" s="20">
        <v>70.1</v>
      </c>
      <c r="Q110" s="20">
        <v>186.7</v>
      </c>
      <c r="R110" s="20">
        <v>2.958</v>
      </c>
      <c r="S110" s="24">
        <v>40106.0</v>
      </c>
    </row>
    <row r="111" ht="15.75" hidden="1" customHeight="1">
      <c r="A111" s="25" t="s">
        <v>147</v>
      </c>
      <c r="B111" s="26" t="s">
        <v>151</v>
      </c>
      <c r="C111" s="28">
        <v>14690.0</v>
      </c>
      <c r="D111" s="29">
        <v>36229.0</v>
      </c>
      <c r="E111" s="29">
        <v>19890.0</v>
      </c>
      <c r="F111" s="30">
        <f t="shared" si="1"/>
        <v>0.549007701</v>
      </c>
      <c r="G111" s="30" t="str">
        <f t="shared" si="2"/>
        <v>POOR</v>
      </c>
      <c r="H111" s="27">
        <v>4.0</v>
      </c>
      <c r="I111" s="27">
        <v>250.0</v>
      </c>
      <c r="J111" s="27" t="str">
        <f t="array" ref="J111">IFS(I111&gt;299,"High HP",I111&gt;99,"Medium HP",I111&lt;100,"Low HP")</f>
        <v>Medium HP</v>
      </c>
      <c r="K111" s="27" t="s">
        <v>21</v>
      </c>
      <c r="L111" s="27">
        <v>22.0</v>
      </c>
      <c r="M111" s="27">
        <v>103.4416926</v>
      </c>
      <c r="N111" s="27">
        <v>18.5</v>
      </c>
      <c r="O111" s="27">
        <v>113.8</v>
      </c>
      <c r="P111" s="27">
        <v>74.4</v>
      </c>
      <c r="Q111" s="27">
        <v>205.4</v>
      </c>
      <c r="R111" s="27">
        <v>3.967</v>
      </c>
      <c r="S111" s="31">
        <v>40592.0</v>
      </c>
    </row>
    <row r="112" ht="15.75" hidden="1" customHeight="1">
      <c r="A112" s="18" t="s">
        <v>147</v>
      </c>
      <c r="B112" s="19" t="s">
        <v>152</v>
      </c>
      <c r="C112" s="21">
        <v>20017.0</v>
      </c>
      <c r="D112" s="22">
        <v>31598.0</v>
      </c>
      <c r="E112" s="22">
        <v>19925.0</v>
      </c>
      <c r="F112" s="23">
        <f t="shared" si="1"/>
        <v>0.6305778847</v>
      </c>
      <c r="G112" s="23" t="str">
        <f t="shared" si="2"/>
        <v>POOR</v>
      </c>
      <c r="H112" s="20">
        <v>4.3</v>
      </c>
      <c r="I112" s="20">
        <v>190.0</v>
      </c>
      <c r="J112" s="20" t="str">
        <f t="array" ref="J112">IFS(I112&gt;299,"High HP",I112&gt;99,"Medium HP",I112&lt;100,"Low HP")</f>
        <v>Medium HP</v>
      </c>
      <c r="K112" s="20" t="s">
        <v>43</v>
      </c>
      <c r="L112" s="20">
        <v>19.0</v>
      </c>
      <c r="M112" s="20">
        <v>80.51167259</v>
      </c>
      <c r="N112" s="20">
        <v>17.5</v>
      </c>
      <c r="O112" s="20">
        <v>107.0</v>
      </c>
      <c r="P112" s="20">
        <v>67.8</v>
      </c>
      <c r="Q112" s="20">
        <v>181.2</v>
      </c>
      <c r="R112" s="20">
        <v>4.068</v>
      </c>
      <c r="S112" s="24">
        <v>40807.0</v>
      </c>
    </row>
    <row r="113" ht="15.75" hidden="1" customHeight="1">
      <c r="A113" s="25" t="s">
        <v>147</v>
      </c>
      <c r="B113" s="26" t="s">
        <v>153</v>
      </c>
      <c r="C113" s="28">
        <v>24361.0</v>
      </c>
      <c r="D113" s="29">
        <v>25345.0</v>
      </c>
      <c r="E113" s="29">
        <v>15240.0</v>
      </c>
      <c r="F113" s="30">
        <f t="shared" si="1"/>
        <v>0.601302032</v>
      </c>
      <c r="G113" s="30" t="str">
        <f t="shared" si="2"/>
        <v>POOR</v>
      </c>
      <c r="H113" s="27">
        <v>3.4</v>
      </c>
      <c r="I113" s="27">
        <v>185.0</v>
      </c>
      <c r="J113" s="27" t="str">
        <f t="array" ref="J113">IFS(I113&gt;299,"High HP",I113&gt;99,"Medium HP",I113&lt;100,"Low HP")</f>
        <v>Medium HP</v>
      </c>
      <c r="K113" s="27" t="s">
        <v>43</v>
      </c>
      <c r="L113" s="27">
        <v>22.0</v>
      </c>
      <c r="M113" s="27">
        <v>76.09657042</v>
      </c>
      <c r="N113" s="27">
        <v>25.0</v>
      </c>
      <c r="O113" s="27">
        <v>120.0</v>
      </c>
      <c r="P113" s="27">
        <v>72.2</v>
      </c>
      <c r="Q113" s="27">
        <v>201.4</v>
      </c>
      <c r="R113" s="27">
        <v>3.948</v>
      </c>
      <c r="S113" s="31">
        <v>40719.0</v>
      </c>
    </row>
    <row r="114" ht="15.75" hidden="1" customHeight="1">
      <c r="A114" s="18" t="s">
        <v>154</v>
      </c>
      <c r="B114" s="19" t="s">
        <v>62</v>
      </c>
      <c r="C114" s="21">
        <v>32734.0</v>
      </c>
      <c r="D114" s="22">
        <v>12640.0</v>
      </c>
      <c r="E114" s="22">
        <v>7750.0</v>
      </c>
      <c r="F114" s="23">
        <f t="shared" si="1"/>
        <v>0.6131329114</v>
      </c>
      <c r="G114" s="23" t="str">
        <f t="shared" si="2"/>
        <v>POOR</v>
      </c>
      <c r="H114" s="20">
        <v>2.0</v>
      </c>
      <c r="I114" s="20">
        <v>132.0</v>
      </c>
      <c r="J114" s="20" t="str">
        <f t="array" ref="J114">IFS(I114&gt;299,"High HP",I114&gt;99,"Medium HP",I114&lt;100,"Low HP")</f>
        <v>Medium HP</v>
      </c>
      <c r="K114" s="20" t="s">
        <v>21</v>
      </c>
      <c r="L114" s="20">
        <v>29.0</v>
      </c>
      <c r="M114" s="20">
        <v>52.08489875</v>
      </c>
      <c r="N114" s="20">
        <v>12.5</v>
      </c>
      <c r="O114" s="20">
        <v>105.0</v>
      </c>
      <c r="P114" s="20">
        <v>74.4</v>
      </c>
      <c r="Q114" s="20">
        <v>174.4</v>
      </c>
      <c r="R114" s="20">
        <v>2.559</v>
      </c>
      <c r="S114" s="24">
        <v>40659.0</v>
      </c>
    </row>
    <row r="115" ht="15.75" hidden="1" customHeight="1">
      <c r="A115" s="25" t="s">
        <v>154</v>
      </c>
      <c r="B115" s="26" t="s">
        <v>155</v>
      </c>
      <c r="C115" s="28">
        <v>5240.0</v>
      </c>
      <c r="D115" s="29">
        <v>16079.999999999998</v>
      </c>
      <c r="E115" s="29">
        <v>9800.0</v>
      </c>
      <c r="F115" s="30">
        <f t="shared" si="1"/>
        <v>0.6094527363</v>
      </c>
      <c r="G115" s="30" t="str">
        <f t="shared" si="2"/>
        <v>POOR</v>
      </c>
      <c r="H115" s="27">
        <v>2.0</v>
      </c>
      <c r="I115" s="27">
        <v>132.0</v>
      </c>
      <c r="J115" s="27" t="str">
        <f t="array" ref="J115">IFS(I115&gt;299,"High HP",I115&gt;99,"Medium HP",I115&lt;100,"Low HP")</f>
        <v>Medium HP</v>
      </c>
      <c r="K115" s="27" t="s">
        <v>21</v>
      </c>
      <c r="L115" s="27">
        <v>27.0</v>
      </c>
      <c r="M115" s="27">
        <v>53.41189767</v>
      </c>
      <c r="N115" s="27">
        <v>16.0</v>
      </c>
      <c r="O115" s="27">
        <v>108.0</v>
      </c>
      <c r="P115" s="27">
        <v>71.0</v>
      </c>
      <c r="Q115" s="27">
        <v>186.3</v>
      </c>
      <c r="R115" s="27">
        <v>2.942</v>
      </c>
      <c r="S115" s="31">
        <v>40861.0</v>
      </c>
    </row>
    <row r="116" ht="15.75" hidden="1" customHeight="1">
      <c r="A116" s="18" t="s">
        <v>154</v>
      </c>
      <c r="B116" s="19" t="s">
        <v>156</v>
      </c>
      <c r="C116" s="21">
        <v>24155.0</v>
      </c>
      <c r="D116" s="22">
        <v>18850.0</v>
      </c>
      <c r="E116" s="22">
        <v>12025.0</v>
      </c>
      <c r="F116" s="23">
        <f t="shared" si="1"/>
        <v>0.6379310345</v>
      </c>
      <c r="G116" s="23" t="str">
        <f t="shared" si="2"/>
        <v>POOR</v>
      </c>
      <c r="H116" s="20">
        <v>2.4</v>
      </c>
      <c r="I116" s="20">
        <v>150.0</v>
      </c>
      <c r="J116" s="20" t="str">
        <f t="array" ref="J116">IFS(I116&gt;299,"High HP",I116&gt;99,"Medium HP",I116&lt;100,"Low HP")</f>
        <v>Medium HP</v>
      </c>
      <c r="K116" s="20" t="s">
        <v>43</v>
      </c>
      <c r="L116" s="20">
        <v>24.0</v>
      </c>
      <c r="M116" s="20">
        <v>60.95118512</v>
      </c>
      <c r="N116" s="20">
        <v>20.0</v>
      </c>
      <c r="O116" s="20">
        <v>113.3</v>
      </c>
      <c r="P116" s="20">
        <v>76.8</v>
      </c>
      <c r="Q116" s="20">
        <v>186.3</v>
      </c>
      <c r="R116" s="20">
        <v>3.528</v>
      </c>
      <c r="S116" s="24">
        <v>40657.0</v>
      </c>
    </row>
    <row r="117" ht="15.75" hidden="1" customHeight="1">
      <c r="A117" s="25" t="s">
        <v>154</v>
      </c>
      <c r="B117" s="26" t="s">
        <v>157</v>
      </c>
      <c r="C117" s="28">
        <v>1872.0</v>
      </c>
      <c r="D117" s="29">
        <v>43000.0</v>
      </c>
      <c r="E117" s="29">
        <v>30434.0</v>
      </c>
      <c r="F117" s="30">
        <f t="shared" si="1"/>
        <v>0.7077674419</v>
      </c>
      <c r="G117" s="30" t="str">
        <f t="shared" si="2"/>
        <v>GOOD</v>
      </c>
      <c r="H117" s="27">
        <v>3.5</v>
      </c>
      <c r="I117" s="27">
        <v>253.0</v>
      </c>
      <c r="J117" s="27" t="str">
        <f t="array" ref="J117">IFS(I117&gt;299,"High HP",I117&gt;99,"Medium HP",I117&lt;100,"Low HP")</f>
        <v>Medium HP</v>
      </c>
      <c r="K117" s="27" t="s">
        <v>21</v>
      </c>
      <c r="L117" s="27">
        <v>21.0</v>
      </c>
      <c r="M117" s="27">
        <v>106.9844563</v>
      </c>
      <c r="N117" s="27">
        <v>12.0</v>
      </c>
      <c r="O117" s="27">
        <v>113.3</v>
      </c>
      <c r="P117" s="27">
        <v>76.3</v>
      </c>
      <c r="Q117" s="27">
        <v>165.4</v>
      </c>
      <c r="R117" s="27">
        <v>2.85</v>
      </c>
      <c r="S117" s="31">
        <v>41087.0</v>
      </c>
    </row>
    <row r="118" ht="15.75" hidden="1" customHeight="1">
      <c r="A118" s="18" t="s">
        <v>158</v>
      </c>
      <c r="B118" s="19" t="s">
        <v>159</v>
      </c>
      <c r="C118" s="21">
        <v>51645.0</v>
      </c>
      <c r="D118" s="22">
        <v>21610.0</v>
      </c>
      <c r="E118" s="22">
        <v>13790.0</v>
      </c>
      <c r="F118" s="23">
        <f t="shared" si="1"/>
        <v>0.6381304951</v>
      </c>
      <c r="G118" s="23" t="str">
        <f t="shared" si="2"/>
        <v>POOR</v>
      </c>
      <c r="H118" s="20">
        <v>2.4</v>
      </c>
      <c r="I118" s="20">
        <v>150.0</v>
      </c>
      <c r="J118" s="20" t="str">
        <f t="array" ref="J118">IFS(I118&gt;299,"High HP",I118&gt;99,"Medium HP",I118&lt;100,"Low HP")</f>
        <v>Medium HP</v>
      </c>
      <c r="K118" s="20" t="s">
        <v>21</v>
      </c>
      <c r="L118" s="20">
        <v>27.0</v>
      </c>
      <c r="M118" s="20">
        <v>62.0158703</v>
      </c>
      <c r="N118" s="20">
        <v>15.0</v>
      </c>
      <c r="O118" s="20">
        <v>104.1</v>
      </c>
      <c r="P118" s="20">
        <v>68.4</v>
      </c>
      <c r="Q118" s="20">
        <v>181.9</v>
      </c>
      <c r="R118" s="20">
        <v>2.906</v>
      </c>
      <c r="S118" s="24">
        <v>40933.0</v>
      </c>
    </row>
    <row r="119" ht="15.75" hidden="1" customHeight="1">
      <c r="A119" s="25" t="s">
        <v>158</v>
      </c>
      <c r="B119" s="26" t="s">
        <v>160</v>
      </c>
      <c r="C119" s="28">
        <v>131097.0</v>
      </c>
      <c r="D119" s="29">
        <v>19720.0</v>
      </c>
      <c r="E119" s="29">
        <v>10290.0</v>
      </c>
      <c r="F119" s="30">
        <f t="shared" si="1"/>
        <v>0.5218052738</v>
      </c>
      <c r="G119" s="30" t="str">
        <f t="shared" si="2"/>
        <v>POOR</v>
      </c>
      <c r="H119" s="27">
        <v>3.4</v>
      </c>
      <c r="I119" s="27">
        <v>175.0</v>
      </c>
      <c r="J119" s="27" t="str">
        <f t="array" ref="J119">IFS(I119&gt;299,"High HP",I119&gt;99,"Medium HP",I119&lt;100,"Low HP")</f>
        <v>Medium HP</v>
      </c>
      <c r="K119" s="27" t="s">
        <v>21</v>
      </c>
      <c r="L119" s="27">
        <v>25.0</v>
      </c>
      <c r="M119" s="27">
        <v>70.38973726</v>
      </c>
      <c r="N119" s="27">
        <v>15.2</v>
      </c>
      <c r="O119" s="27">
        <v>107.0</v>
      </c>
      <c r="P119" s="27">
        <v>70.4</v>
      </c>
      <c r="Q119" s="27">
        <v>186.3</v>
      </c>
      <c r="R119" s="27">
        <v>3.091</v>
      </c>
      <c r="S119" s="31">
        <v>41239.0</v>
      </c>
    </row>
    <row r="120" ht="15.75" hidden="1" customHeight="1">
      <c r="A120" s="18" t="s">
        <v>158</v>
      </c>
      <c r="B120" s="19" t="s">
        <v>161</v>
      </c>
      <c r="C120" s="21">
        <v>19911.0</v>
      </c>
      <c r="D120" s="22">
        <v>25310.0</v>
      </c>
      <c r="E120" s="22">
        <v>17805.0</v>
      </c>
      <c r="F120" s="23">
        <f t="shared" si="1"/>
        <v>0.7034768866</v>
      </c>
      <c r="G120" s="23" t="str">
        <f t="shared" si="2"/>
        <v>GOOD</v>
      </c>
      <c r="H120" s="20">
        <v>3.8</v>
      </c>
      <c r="I120" s="20">
        <v>200.0</v>
      </c>
      <c r="J120" s="20" t="str">
        <f t="array" ref="J120">IFS(I120&gt;299,"High HP",I120&gt;99,"Medium HP",I120&lt;100,"Low HP")</f>
        <v>Medium HP</v>
      </c>
      <c r="K120" s="20" t="s">
        <v>21</v>
      </c>
      <c r="L120" s="20">
        <v>25.0</v>
      </c>
      <c r="M120" s="20">
        <v>81.49272616</v>
      </c>
      <c r="N120" s="20">
        <v>16.8</v>
      </c>
      <c r="O120" s="20">
        <v>101.1</v>
      </c>
      <c r="P120" s="20">
        <v>74.5</v>
      </c>
      <c r="Q120" s="20">
        <v>193.4</v>
      </c>
      <c r="R120" s="20">
        <v>3.492</v>
      </c>
      <c r="S120" s="24">
        <v>41076.0</v>
      </c>
    </row>
    <row r="121" ht="15.75" hidden="1" customHeight="1">
      <c r="A121" s="25" t="s">
        <v>158</v>
      </c>
      <c r="B121" s="26" t="s">
        <v>162</v>
      </c>
      <c r="C121" s="28">
        <v>92364.0</v>
      </c>
      <c r="D121" s="29">
        <v>21665.0</v>
      </c>
      <c r="E121" s="29">
        <v>14010.0</v>
      </c>
      <c r="F121" s="30">
        <f t="shared" si="1"/>
        <v>0.6466651281</v>
      </c>
      <c r="G121" s="30" t="str">
        <f t="shared" si="2"/>
        <v>POOR</v>
      </c>
      <c r="H121" s="27">
        <v>3.8</v>
      </c>
      <c r="I121" s="27">
        <v>195.0</v>
      </c>
      <c r="J121" s="27" t="str">
        <f t="array" ref="J121">IFS(I121&gt;299,"High HP",I121&gt;99,"Medium HP",I121&lt;100,"Low HP")</f>
        <v>Medium HP</v>
      </c>
      <c r="K121" s="27" t="s">
        <v>21</v>
      </c>
      <c r="L121" s="27">
        <v>25.0</v>
      </c>
      <c r="M121" s="27">
        <v>78.31816813</v>
      </c>
      <c r="N121" s="27">
        <v>18.0</v>
      </c>
      <c r="O121" s="27">
        <v>110.5</v>
      </c>
      <c r="P121" s="27">
        <v>72.7</v>
      </c>
      <c r="Q121" s="27">
        <v>196.5</v>
      </c>
      <c r="R121" s="27">
        <v>3.396</v>
      </c>
      <c r="S121" s="31">
        <v>41197.0</v>
      </c>
    </row>
    <row r="122" ht="15.75" hidden="1" customHeight="1">
      <c r="A122" s="18" t="s">
        <v>158</v>
      </c>
      <c r="B122" s="19" t="s">
        <v>163</v>
      </c>
      <c r="C122" s="21">
        <v>35945.0</v>
      </c>
      <c r="D122" s="22">
        <v>23755.0</v>
      </c>
      <c r="E122" s="22">
        <v>13225.0</v>
      </c>
      <c r="F122" s="23">
        <f t="shared" si="1"/>
        <v>0.5567249</v>
      </c>
      <c r="G122" s="23" t="str">
        <f t="shared" si="2"/>
        <v>POOR</v>
      </c>
      <c r="H122" s="20">
        <v>3.8</v>
      </c>
      <c r="I122" s="20">
        <v>205.0</v>
      </c>
      <c r="J122" s="20" t="str">
        <f t="array" ref="J122">IFS(I122&gt;299,"High HP",I122&gt;99,"Medium HP",I122&lt;100,"Low HP")</f>
        <v>Medium HP</v>
      </c>
      <c r="K122" s="20" t="s">
        <v>21</v>
      </c>
      <c r="L122" s="20">
        <v>24.0</v>
      </c>
      <c r="M122" s="20">
        <v>82.6613556</v>
      </c>
      <c r="N122" s="20">
        <v>17.5</v>
      </c>
      <c r="O122" s="20">
        <v>112.2</v>
      </c>
      <c r="P122" s="20">
        <v>72.6</v>
      </c>
      <c r="Q122" s="20">
        <v>202.5</v>
      </c>
      <c r="R122" s="20">
        <v>3.59</v>
      </c>
      <c r="S122" s="24">
        <v>40681.0</v>
      </c>
    </row>
    <row r="123" ht="15.75" hidden="1" customHeight="1">
      <c r="A123" s="25" t="s">
        <v>158</v>
      </c>
      <c r="B123" s="26" t="s">
        <v>164</v>
      </c>
      <c r="C123" s="28">
        <v>39572.0</v>
      </c>
      <c r="D123" s="29">
        <v>25635.0</v>
      </c>
      <c r="E123" s="29">
        <v>14215.0</v>
      </c>
      <c r="F123" s="30">
        <f t="shared" si="1"/>
        <v>0.5545153111</v>
      </c>
      <c r="G123" s="30" t="str">
        <f t="shared" si="2"/>
        <v>POOR</v>
      </c>
      <c r="H123" s="27">
        <v>3.4</v>
      </c>
      <c r="I123" s="27">
        <v>185.0</v>
      </c>
      <c r="J123" s="27" t="str">
        <f t="array" ref="J123">IFS(I123&gt;299,"High HP",I123&gt;99,"Medium HP",I123&lt;100,"Low HP")</f>
        <v>Medium HP</v>
      </c>
      <c r="K123" s="27" t="s">
        <v>43</v>
      </c>
      <c r="L123" s="27">
        <v>23.0</v>
      </c>
      <c r="M123" s="27">
        <v>76.20843952</v>
      </c>
      <c r="N123" s="27">
        <v>25.0</v>
      </c>
      <c r="O123" s="27">
        <v>120.0</v>
      </c>
      <c r="P123" s="27">
        <v>72.7</v>
      </c>
      <c r="Q123" s="27">
        <v>201.3</v>
      </c>
      <c r="R123" s="27">
        <v>3.942</v>
      </c>
      <c r="S123" s="31">
        <v>41112.0</v>
      </c>
    </row>
    <row r="124" ht="15.75" hidden="1" customHeight="1">
      <c r="A124" s="18" t="s">
        <v>165</v>
      </c>
      <c r="B124" s="19" t="s">
        <v>166</v>
      </c>
      <c r="C124" s="21">
        <v>8982.0</v>
      </c>
      <c r="D124" s="22">
        <v>41430.0</v>
      </c>
      <c r="E124" s="22">
        <v>41250.0</v>
      </c>
      <c r="F124" s="23">
        <f t="shared" si="1"/>
        <v>0.9956553222</v>
      </c>
      <c r="G124" s="23" t="str">
        <f t="shared" si="2"/>
        <v>GOOD</v>
      </c>
      <c r="H124" s="20">
        <v>2.7</v>
      </c>
      <c r="I124" s="20">
        <v>217.0</v>
      </c>
      <c r="J124" s="20" t="str">
        <f t="array" ref="J124">IFS(I124&gt;299,"High HP",I124&gt;99,"Medium HP",I124&lt;100,"Low HP")</f>
        <v>Medium HP</v>
      </c>
      <c r="K124" s="20" t="s">
        <v>21</v>
      </c>
      <c r="L124" s="20">
        <v>22.0</v>
      </c>
      <c r="M124" s="20">
        <v>93.4373307</v>
      </c>
      <c r="N124" s="20">
        <v>17.0</v>
      </c>
      <c r="O124" s="20">
        <v>95.2</v>
      </c>
      <c r="P124" s="20">
        <v>70.1</v>
      </c>
      <c r="Q124" s="20">
        <v>171.0</v>
      </c>
      <c r="R124" s="20">
        <v>2.778</v>
      </c>
      <c r="S124" s="24">
        <v>40958.0</v>
      </c>
    </row>
    <row r="125" ht="15.75" hidden="1" customHeight="1">
      <c r="A125" s="25" t="s">
        <v>165</v>
      </c>
      <c r="B125" s="26" t="s">
        <v>167</v>
      </c>
      <c r="C125" s="28">
        <v>1280.0</v>
      </c>
      <c r="D125" s="29">
        <v>71020.0</v>
      </c>
      <c r="E125" s="29">
        <v>60625.0</v>
      </c>
      <c r="F125" s="30">
        <f t="shared" si="1"/>
        <v>0.8536327795</v>
      </c>
      <c r="G125" s="30" t="str">
        <f t="shared" si="2"/>
        <v>GOOD</v>
      </c>
      <c r="H125" s="27">
        <v>3.4</v>
      </c>
      <c r="I125" s="27">
        <v>300.0</v>
      </c>
      <c r="J125" s="27" t="str">
        <f t="array" ref="J125">IFS(I125&gt;299,"High HP",I125&gt;99,"Medium HP",I125&lt;100,"Low HP")</f>
        <v>High HP</v>
      </c>
      <c r="K125" s="27" t="s">
        <v>21</v>
      </c>
      <c r="L125" s="27">
        <v>21.0</v>
      </c>
      <c r="M125" s="27">
        <v>134.3909754</v>
      </c>
      <c r="N125" s="27">
        <v>17.0</v>
      </c>
      <c r="O125" s="27">
        <v>92.6</v>
      </c>
      <c r="P125" s="27">
        <v>69.5</v>
      </c>
      <c r="Q125" s="27">
        <v>174.5</v>
      </c>
      <c r="R125" s="27">
        <v>3.032</v>
      </c>
      <c r="S125" s="31">
        <v>41264.0</v>
      </c>
    </row>
    <row r="126" ht="15.75" hidden="1" customHeight="1">
      <c r="A126" s="18" t="s">
        <v>165</v>
      </c>
      <c r="B126" s="19" t="s">
        <v>168</v>
      </c>
      <c r="C126" s="21">
        <v>1866.0</v>
      </c>
      <c r="D126" s="22">
        <v>74970.0</v>
      </c>
      <c r="E126" s="22">
        <v>67550.0</v>
      </c>
      <c r="F126" s="23">
        <f t="shared" si="1"/>
        <v>0.9010270775</v>
      </c>
      <c r="G126" s="23" t="str">
        <f t="shared" si="2"/>
        <v>GOOD</v>
      </c>
      <c r="H126" s="20">
        <v>3.4</v>
      </c>
      <c r="I126" s="20">
        <v>300.0</v>
      </c>
      <c r="J126" s="20" t="str">
        <f t="array" ref="J126">IFS(I126&gt;299,"High HP",I126&gt;99,"Medium HP",I126&lt;100,"Low HP")</f>
        <v>High HP</v>
      </c>
      <c r="K126" s="20" t="s">
        <v>21</v>
      </c>
      <c r="L126" s="20">
        <v>23.0</v>
      </c>
      <c r="M126" s="20">
        <v>135.9147096</v>
      </c>
      <c r="N126" s="20">
        <v>17.0</v>
      </c>
      <c r="O126" s="20">
        <v>92.6</v>
      </c>
      <c r="P126" s="20">
        <v>69.5</v>
      </c>
      <c r="Q126" s="20">
        <v>174.5</v>
      </c>
      <c r="R126" s="20">
        <v>3.075</v>
      </c>
      <c r="S126" s="24">
        <v>40735.0</v>
      </c>
    </row>
    <row r="127" ht="15.75" hidden="1" customHeight="1">
      <c r="A127" s="25" t="s">
        <v>169</v>
      </c>
      <c r="B127" s="32" t="s">
        <v>170</v>
      </c>
      <c r="C127" s="28">
        <v>9191.0</v>
      </c>
      <c r="D127" s="29">
        <v>33120.0</v>
      </c>
      <c r="E127" s="29">
        <v>22789.0</v>
      </c>
      <c r="F127" s="30">
        <f t="shared" si="1"/>
        <v>0.6880736715</v>
      </c>
      <c r="G127" s="30" t="str">
        <f t="shared" si="2"/>
        <v>POOR</v>
      </c>
      <c r="H127" s="27">
        <v>2.3</v>
      </c>
      <c r="I127" s="27">
        <v>170.0</v>
      </c>
      <c r="J127" s="27" t="str">
        <f t="array" ref="J127">IFS(I127&gt;299,"High HP",I127&gt;99,"Medium HP",I127&lt;100,"Low HP")</f>
        <v>Medium HP</v>
      </c>
      <c r="K127" s="27" t="s">
        <v>21</v>
      </c>
      <c r="L127" s="27">
        <v>23.0</v>
      </c>
      <c r="M127" s="27">
        <v>73.50377819</v>
      </c>
      <c r="N127" s="27">
        <v>18.5</v>
      </c>
      <c r="O127" s="27">
        <v>106.4</v>
      </c>
      <c r="P127" s="27">
        <v>70.6</v>
      </c>
      <c r="Q127" s="27">
        <v>189.2</v>
      </c>
      <c r="R127" s="27">
        <v>3.28</v>
      </c>
      <c r="S127" s="31">
        <v>41222.0</v>
      </c>
    </row>
    <row r="128" ht="15.75" hidden="1" customHeight="1">
      <c r="A128" s="18" t="s">
        <v>169</v>
      </c>
      <c r="B128" s="33" t="s">
        <v>171</v>
      </c>
      <c r="C128" s="21">
        <v>12115.0</v>
      </c>
      <c r="D128" s="22">
        <v>26100.0</v>
      </c>
      <c r="E128" s="22">
        <v>18255.0</v>
      </c>
      <c r="F128" s="23">
        <f t="shared" si="1"/>
        <v>0.6994252874</v>
      </c>
      <c r="G128" s="23" t="str">
        <f t="shared" si="2"/>
        <v>GOOD</v>
      </c>
      <c r="H128" s="20">
        <v>2.0</v>
      </c>
      <c r="I128" s="20">
        <v>185.0</v>
      </c>
      <c r="J128" s="20" t="str">
        <f t="array" ref="J128">IFS(I128&gt;299,"High HP",I128&gt;99,"Medium HP",I128&lt;100,"Low HP")</f>
        <v>Medium HP</v>
      </c>
      <c r="K128" s="20" t="s">
        <v>21</v>
      </c>
      <c r="L128" s="20">
        <v>23.0</v>
      </c>
      <c r="M128" s="20">
        <v>76.02304771</v>
      </c>
      <c r="N128" s="20">
        <v>16.9</v>
      </c>
      <c r="O128" s="20">
        <v>102.6</v>
      </c>
      <c r="P128" s="20">
        <v>67.4</v>
      </c>
      <c r="Q128" s="20">
        <v>182.2</v>
      </c>
      <c r="R128" s="20">
        <v>2.99</v>
      </c>
      <c r="S128" s="24">
        <v>40706.0</v>
      </c>
    </row>
    <row r="129" ht="15.75" hidden="1" customHeight="1">
      <c r="A129" s="25" t="s">
        <v>172</v>
      </c>
      <c r="B129" s="26" t="s">
        <v>173</v>
      </c>
      <c r="C129" s="28">
        <v>80620.0</v>
      </c>
      <c r="D129" s="29">
        <v>10685.0</v>
      </c>
      <c r="E129" s="29">
        <v>9200.0</v>
      </c>
      <c r="F129" s="30">
        <f t="shared" si="1"/>
        <v>0.8610201217</v>
      </c>
      <c r="G129" s="30" t="str">
        <f t="shared" si="2"/>
        <v>GOOD</v>
      </c>
      <c r="H129" s="27">
        <v>1.9</v>
      </c>
      <c r="I129" s="27">
        <v>100.0</v>
      </c>
      <c r="J129" s="27" t="str">
        <f t="array" ref="J129">IFS(I129&gt;299,"High HP",I129&gt;99,"Medium HP",I129&lt;100,"Low HP")</f>
        <v>Medium HP</v>
      </c>
      <c r="K129" s="27" t="s">
        <v>21</v>
      </c>
      <c r="L129" s="27">
        <v>33.0</v>
      </c>
      <c r="M129" s="27">
        <v>39.98642475</v>
      </c>
      <c r="N129" s="27">
        <v>12.1</v>
      </c>
      <c r="O129" s="27">
        <v>102.4</v>
      </c>
      <c r="P129" s="27">
        <v>66.4</v>
      </c>
      <c r="Q129" s="27">
        <v>176.9</v>
      </c>
      <c r="R129" s="27">
        <v>2.332</v>
      </c>
      <c r="S129" s="31">
        <v>41137.0</v>
      </c>
    </row>
    <row r="130" ht="15.75" hidden="1" customHeight="1">
      <c r="A130" s="18" t="s">
        <v>172</v>
      </c>
      <c r="B130" s="19" t="s">
        <v>174</v>
      </c>
      <c r="C130" s="21">
        <v>24546.0</v>
      </c>
      <c r="D130" s="22">
        <v>12535.0</v>
      </c>
      <c r="E130" s="22">
        <v>10590.0</v>
      </c>
      <c r="F130" s="23">
        <f t="shared" si="1"/>
        <v>0.8448344635</v>
      </c>
      <c r="G130" s="23" t="str">
        <f t="shared" si="2"/>
        <v>GOOD</v>
      </c>
      <c r="H130" s="20">
        <v>1.9</v>
      </c>
      <c r="I130" s="20">
        <v>100.0</v>
      </c>
      <c r="J130" s="20" t="str">
        <f t="array" ref="J130">IFS(I130&gt;299,"High HP",I130&gt;99,"Medium HP",I130&lt;100,"Low HP")</f>
        <v>Medium HP</v>
      </c>
      <c r="K130" s="20" t="s">
        <v>21</v>
      </c>
      <c r="L130" s="20">
        <v>33.0</v>
      </c>
      <c r="M130" s="20">
        <v>40.70007242</v>
      </c>
      <c r="N130" s="20">
        <v>12.1</v>
      </c>
      <c r="O130" s="20">
        <v>102.4</v>
      </c>
      <c r="P130" s="20">
        <v>66.4</v>
      </c>
      <c r="Q130" s="20">
        <v>180.0</v>
      </c>
      <c r="R130" s="20">
        <v>2.367</v>
      </c>
      <c r="S130" s="24">
        <v>40618.0</v>
      </c>
    </row>
    <row r="131" ht="15.75" hidden="1" customHeight="1">
      <c r="A131" s="25" t="s">
        <v>172</v>
      </c>
      <c r="B131" s="26" t="s">
        <v>175</v>
      </c>
      <c r="C131" s="28">
        <v>5223.0</v>
      </c>
      <c r="D131" s="29">
        <v>14290.0</v>
      </c>
      <c r="E131" s="29">
        <v>10790.0</v>
      </c>
      <c r="F131" s="30">
        <f t="shared" si="1"/>
        <v>0.755073478</v>
      </c>
      <c r="G131" s="30" t="str">
        <f t="shared" si="2"/>
        <v>GOOD</v>
      </c>
      <c r="H131" s="27">
        <v>1.9</v>
      </c>
      <c r="I131" s="27">
        <v>124.0</v>
      </c>
      <c r="J131" s="27" t="str">
        <f t="array" ref="J131">IFS(I131&gt;299,"High HP",I131&gt;99,"Medium HP",I131&lt;100,"Low HP")</f>
        <v>Medium HP</v>
      </c>
      <c r="K131" s="27" t="s">
        <v>21</v>
      </c>
      <c r="L131" s="27">
        <v>31.0</v>
      </c>
      <c r="M131" s="27">
        <v>49.86577367</v>
      </c>
      <c r="N131" s="27">
        <v>12.1</v>
      </c>
      <c r="O131" s="27">
        <v>102.4</v>
      </c>
      <c r="P131" s="27">
        <v>66.4</v>
      </c>
      <c r="Q131" s="27">
        <v>176.9</v>
      </c>
      <c r="R131" s="27">
        <v>2.452</v>
      </c>
      <c r="S131" s="31">
        <v>40558.0</v>
      </c>
    </row>
    <row r="132" ht="15.75" hidden="1" customHeight="1">
      <c r="A132" s="18" t="s">
        <v>172</v>
      </c>
      <c r="B132" s="19" t="s">
        <v>176</v>
      </c>
      <c r="C132" s="21">
        <v>8472.0</v>
      </c>
      <c r="D132" s="22">
        <v>18835.0</v>
      </c>
      <c r="E132" s="22">
        <v>13700.0</v>
      </c>
      <c r="F132" s="23">
        <f t="shared" si="1"/>
        <v>0.7273692594</v>
      </c>
      <c r="G132" s="23" t="str">
        <f t="shared" si="2"/>
        <v>GOOD</v>
      </c>
      <c r="H132" s="20">
        <v>2.2</v>
      </c>
      <c r="I132" s="20">
        <v>137.0</v>
      </c>
      <c r="J132" s="20" t="str">
        <f t="array" ref="J132">IFS(I132&gt;299,"High HP",I132&gt;99,"Medium HP",I132&lt;100,"Low HP")</f>
        <v>Medium HP</v>
      </c>
      <c r="K132" s="20" t="s">
        <v>21</v>
      </c>
      <c r="L132" s="20">
        <v>27.0</v>
      </c>
      <c r="M132" s="20">
        <v>56.29524304</v>
      </c>
      <c r="N132" s="20">
        <v>13.1</v>
      </c>
      <c r="O132" s="20">
        <v>106.5</v>
      </c>
      <c r="P132" s="20">
        <v>69.0</v>
      </c>
      <c r="Q132" s="20">
        <v>190.4</v>
      </c>
      <c r="R132" s="20">
        <v>3.075</v>
      </c>
      <c r="S132" s="24">
        <v>40760.0</v>
      </c>
    </row>
    <row r="133" ht="15.75" hidden="1" customHeight="1">
      <c r="A133" s="25" t="s">
        <v>172</v>
      </c>
      <c r="B133" s="26" t="s">
        <v>177</v>
      </c>
      <c r="C133" s="28">
        <v>49989.0</v>
      </c>
      <c r="D133" s="29">
        <v>15010.0</v>
      </c>
      <c r="E133" s="29">
        <v>9900.0</v>
      </c>
      <c r="F133" s="30">
        <f t="shared" si="1"/>
        <v>0.6595602931</v>
      </c>
      <c r="G133" s="30" t="str">
        <f t="shared" si="2"/>
        <v>POOR</v>
      </c>
      <c r="H133" s="27">
        <v>2.2</v>
      </c>
      <c r="I133" s="27">
        <v>137.0</v>
      </c>
      <c r="J133" s="27" t="str">
        <f t="array" ref="J133">IFS(I133&gt;299,"High HP",I133&gt;99,"Medium HP",I133&lt;100,"Low HP")</f>
        <v>Medium HP</v>
      </c>
      <c r="K133" s="27" t="s">
        <v>21</v>
      </c>
      <c r="L133" s="27">
        <v>28.0</v>
      </c>
      <c r="M133" s="27">
        <v>54.81972825</v>
      </c>
      <c r="N133" s="27">
        <v>13.1</v>
      </c>
      <c r="O133" s="27">
        <v>106.5</v>
      </c>
      <c r="P133" s="27">
        <v>69.0</v>
      </c>
      <c r="Q133" s="27">
        <v>190.4</v>
      </c>
      <c r="R133" s="27">
        <v>2.91</v>
      </c>
      <c r="S133" s="31">
        <v>41247.0</v>
      </c>
    </row>
    <row r="134" ht="15.75" hidden="1" customHeight="1">
      <c r="A134" s="18" t="s">
        <v>178</v>
      </c>
      <c r="B134" s="19" t="s">
        <v>179</v>
      </c>
      <c r="C134" s="21">
        <v>47107.0</v>
      </c>
      <c r="D134" s="22">
        <v>22695.0</v>
      </c>
      <c r="E134" s="22">
        <v>16770.0</v>
      </c>
      <c r="F134" s="23">
        <f t="shared" si="1"/>
        <v>0.7389292796</v>
      </c>
      <c r="G134" s="23" t="str">
        <f t="shared" si="2"/>
        <v>GOOD</v>
      </c>
      <c r="H134" s="20">
        <v>2.5</v>
      </c>
      <c r="I134" s="20">
        <v>165.0</v>
      </c>
      <c r="J134" s="20" t="str">
        <f t="array" ref="J134">IFS(I134&gt;299,"High HP",I134&gt;99,"Medium HP",I134&lt;100,"Low HP")</f>
        <v>Medium HP</v>
      </c>
      <c r="K134" s="20" t="s">
        <v>21</v>
      </c>
      <c r="L134" s="20">
        <v>25.0</v>
      </c>
      <c r="M134" s="20">
        <v>67.7659076</v>
      </c>
      <c r="N134" s="20">
        <v>16.9</v>
      </c>
      <c r="O134" s="20">
        <v>103.5</v>
      </c>
      <c r="P134" s="20">
        <v>67.5</v>
      </c>
      <c r="Q134" s="20">
        <v>185.8</v>
      </c>
      <c r="R134" s="20">
        <v>3.415</v>
      </c>
      <c r="S134" s="24">
        <v>40731.0</v>
      </c>
    </row>
    <row r="135" ht="15.75" hidden="1" customHeight="1">
      <c r="A135" s="25" t="s">
        <v>178</v>
      </c>
      <c r="B135" s="26" t="s">
        <v>180</v>
      </c>
      <c r="C135" s="28">
        <v>33028.0</v>
      </c>
      <c r="D135" s="29">
        <v>20095.0</v>
      </c>
      <c r="E135" s="29">
        <v>14832.0</v>
      </c>
      <c r="F135" s="30">
        <f t="shared" si="1"/>
        <v>0.7380940532</v>
      </c>
      <c r="G135" s="30" t="str">
        <f t="shared" si="2"/>
        <v>GOOD</v>
      </c>
      <c r="H135" s="27">
        <v>2.5</v>
      </c>
      <c r="I135" s="27">
        <v>165.0</v>
      </c>
      <c r="J135" s="27" t="str">
        <f t="array" ref="J135">IFS(I135&gt;299,"High HP",I135&gt;99,"Medium HP",I135&lt;100,"Low HP")</f>
        <v>Medium HP</v>
      </c>
      <c r="K135" s="27" t="s">
        <v>43</v>
      </c>
      <c r="L135" s="27">
        <v>24.0</v>
      </c>
      <c r="M135" s="27">
        <v>66.76294331</v>
      </c>
      <c r="N135" s="27">
        <v>15.9</v>
      </c>
      <c r="O135" s="27">
        <v>99.4</v>
      </c>
      <c r="P135" s="27">
        <v>68.3</v>
      </c>
      <c r="Q135" s="27">
        <v>175.2</v>
      </c>
      <c r="R135" s="27">
        <v>3.125</v>
      </c>
      <c r="S135" s="31">
        <v>41162.0</v>
      </c>
    </row>
    <row r="136" ht="15.75" customHeight="1">
      <c r="A136" s="18" t="s">
        <v>181</v>
      </c>
      <c r="B136" s="19" t="s">
        <v>189</v>
      </c>
      <c r="C136" s="21">
        <v>68411.0</v>
      </c>
      <c r="D136" s="22">
        <v>22288.0</v>
      </c>
      <c r="E136" s="22">
        <v>19425.0</v>
      </c>
      <c r="F136" s="23">
        <f t="shared" si="1"/>
        <v>0.8715452261</v>
      </c>
      <c r="G136" s="23" t="str">
        <f t="shared" si="2"/>
        <v>GOOD</v>
      </c>
      <c r="H136" s="20">
        <v>2.7</v>
      </c>
      <c r="I136" s="20">
        <v>150.0</v>
      </c>
      <c r="J136" s="20" t="str">
        <f t="array" ref="J136">IFS(I136&gt;299,"High HP",I136&gt;99,"Medium HP",I136&lt;100,"Low HP")</f>
        <v>Medium HP</v>
      </c>
      <c r="K136" s="20" t="s">
        <v>43</v>
      </c>
      <c r="L136" s="20">
        <v>23.0</v>
      </c>
      <c r="M136" s="20">
        <v>62.35557713</v>
      </c>
      <c r="N136" s="20">
        <v>18.5</v>
      </c>
      <c r="O136" s="20">
        <v>105.3</v>
      </c>
      <c r="P136" s="20">
        <v>66.5</v>
      </c>
      <c r="Q136" s="20">
        <v>183.3</v>
      </c>
      <c r="R136" s="20">
        <v>3.44</v>
      </c>
      <c r="S136" s="24">
        <v>40609.0</v>
      </c>
    </row>
    <row r="137" ht="15.75" customHeight="1">
      <c r="A137" s="25" t="s">
        <v>181</v>
      </c>
      <c r="B137" s="26" t="s">
        <v>184</v>
      </c>
      <c r="C137" s="28">
        <v>63849.0</v>
      </c>
      <c r="D137" s="29">
        <v>25545.0</v>
      </c>
      <c r="E137" s="29">
        <v>18140.0</v>
      </c>
      <c r="F137" s="30">
        <f t="shared" si="1"/>
        <v>0.7101193971</v>
      </c>
      <c r="G137" s="30" t="str">
        <f t="shared" si="2"/>
        <v>GOOD</v>
      </c>
      <c r="H137" s="27">
        <v>3.0</v>
      </c>
      <c r="I137" s="27">
        <v>210.0</v>
      </c>
      <c r="J137" s="27" t="str">
        <f t="array" ref="J137">IFS(I137&gt;299,"High HP",I137&gt;99,"Medium HP",I137&lt;100,"Low HP")</f>
        <v>Medium HP</v>
      </c>
      <c r="K137" s="27" t="s">
        <v>21</v>
      </c>
      <c r="L137" s="27">
        <v>26.0</v>
      </c>
      <c r="M137" s="27">
        <v>84.91189826</v>
      </c>
      <c r="N137" s="27">
        <v>18.5</v>
      </c>
      <c r="O137" s="27">
        <v>107.1</v>
      </c>
      <c r="P137" s="27">
        <v>71.7</v>
      </c>
      <c r="Q137" s="27">
        <v>191.9</v>
      </c>
      <c r="R137" s="27">
        <v>3.417</v>
      </c>
      <c r="S137" s="31">
        <v>40786.0</v>
      </c>
    </row>
    <row r="138" ht="15.75" customHeight="1">
      <c r="A138" s="18" t="s">
        <v>181</v>
      </c>
      <c r="B138" s="19" t="s">
        <v>183</v>
      </c>
      <c r="C138" s="21">
        <v>247994.0</v>
      </c>
      <c r="D138" s="22">
        <v>17518.0</v>
      </c>
      <c r="E138" s="22">
        <v>13245.0</v>
      </c>
      <c r="F138" s="23">
        <f t="shared" si="1"/>
        <v>0.7560794611</v>
      </c>
      <c r="G138" s="23" t="str">
        <f t="shared" si="2"/>
        <v>GOOD</v>
      </c>
      <c r="H138" s="20">
        <v>2.2</v>
      </c>
      <c r="I138" s="20">
        <v>133.0</v>
      </c>
      <c r="J138" s="20" t="str">
        <f t="array" ref="J138">IFS(I138&gt;299,"High HP",I138&gt;99,"Medium HP",I138&lt;100,"Low HP")</f>
        <v>Medium HP</v>
      </c>
      <c r="K138" s="20" t="s">
        <v>21</v>
      </c>
      <c r="L138" s="20">
        <v>27.0</v>
      </c>
      <c r="M138" s="20">
        <v>54.37241965</v>
      </c>
      <c r="N138" s="20">
        <v>18.5</v>
      </c>
      <c r="O138" s="20">
        <v>105.2</v>
      </c>
      <c r="P138" s="20">
        <v>70.1</v>
      </c>
      <c r="Q138" s="20">
        <v>188.5</v>
      </c>
      <c r="R138" s="20">
        <v>2.998</v>
      </c>
      <c r="S138" s="24">
        <v>40584.0</v>
      </c>
    </row>
    <row r="139" ht="15.75" customHeight="1">
      <c r="A139" s="25" t="s">
        <v>181</v>
      </c>
      <c r="B139" s="26" t="s">
        <v>185</v>
      </c>
      <c r="C139" s="28">
        <v>33269.0</v>
      </c>
      <c r="D139" s="29">
        <v>16875.0</v>
      </c>
      <c r="E139" s="29">
        <v>15445.0</v>
      </c>
      <c r="F139" s="30">
        <f t="shared" si="1"/>
        <v>0.9152592593</v>
      </c>
      <c r="G139" s="30" t="str">
        <f t="shared" si="2"/>
        <v>GOOD</v>
      </c>
      <c r="H139" s="27">
        <v>1.8</v>
      </c>
      <c r="I139" s="27">
        <v>140.0</v>
      </c>
      <c r="J139" s="27" t="str">
        <f t="array" ref="J139">IFS(I139&gt;299,"High HP",I139&gt;99,"Medium HP",I139&lt;100,"Low HP")</f>
        <v>Medium HP</v>
      </c>
      <c r="K139" s="27" t="s">
        <v>21</v>
      </c>
      <c r="L139" s="27">
        <v>31.0</v>
      </c>
      <c r="M139" s="27">
        <v>56.49603034</v>
      </c>
      <c r="N139" s="27">
        <v>14.5</v>
      </c>
      <c r="O139" s="27">
        <v>102.4</v>
      </c>
      <c r="P139" s="27">
        <v>68.3</v>
      </c>
      <c r="Q139" s="27">
        <v>170.5</v>
      </c>
      <c r="R139" s="27">
        <v>2.425</v>
      </c>
      <c r="S139" s="31">
        <v>41272.0</v>
      </c>
    </row>
    <row r="140" ht="15.75" customHeight="1">
      <c r="A140" s="18" t="s">
        <v>181</v>
      </c>
      <c r="B140" s="19" t="s">
        <v>182</v>
      </c>
      <c r="C140" s="21">
        <v>142535.0</v>
      </c>
      <c r="D140" s="22">
        <v>13108.0</v>
      </c>
      <c r="E140" s="22">
        <v>10025.0</v>
      </c>
      <c r="F140" s="23">
        <f t="shared" si="1"/>
        <v>0.7648001221</v>
      </c>
      <c r="G140" s="23" t="str">
        <f t="shared" si="2"/>
        <v>GOOD</v>
      </c>
      <c r="H140" s="20">
        <v>1.8</v>
      </c>
      <c r="I140" s="20">
        <v>120.0</v>
      </c>
      <c r="J140" s="20" t="str">
        <f t="array" ref="J140">IFS(I140&gt;299,"High HP",I140&gt;99,"Medium HP",I140&lt;100,"Low HP")</f>
        <v>Medium HP</v>
      </c>
      <c r="K140" s="20" t="s">
        <v>21</v>
      </c>
      <c r="L140" s="20">
        <v>33.0</v>
      </c>
      <c r="M140" s="20">
        <v>47.96897242</v>
      </c>
      <c r="N140" s="20">
        <v>13.2</v>
      </c>
      <c r="O140" s="20">
        <v>97.0</v>
      </c>
      <c r="P140" s="20">
        <v>66.7</v>
      </c>
      <c r="Q140" s="20">
        <v>174.0</v>
      </c>
      <c r="R140" s="20">
        <v>2.42</v>
      </c>
      <c r="S140" s="24">
        <v>40644.0</v>
      </c>
    </row>
    <row r="141" ht="15.75" customHeight="1">
      <c r="A141" s="25" t="s">
        <v>181</v>
      </c>
      <c r="B141" s="26" t="s">
        <v>190</v>
      </c>
      <c r="C141" s="28">
        <v>9835.0</v>
      </c>
      <c r="D141" s="29">
        <v>51728.0</v>
      </c>
      <c r="E141" s="29">
        <v>34080.0</v>
      </c>
      <c r="F141" s="30">
        <f t="shared" si="1"/>
        <v>0.6588308073</v>
      </c>
      <c r="G141" s="30" t="str">
        <f t="shared" si="2"/>
        <v>POOR</v>
      </c>
      <c r="H141" s="27">
        <v>4.7</v>
      </c>
      <c r="I141" s="27">
        <v>230.0</v>
      </c>
      <c r="J141" s="27" t="str">
        <f t="array" ref="J141">IFS(I141&gt;299,"High HP",I141&gt;99,"Medium HP",I141&lt;100,"Low HP")</f>
        <v>Medium HP</v>
      </c>
      <c r="K141" s="27" t="s">
        <v>43</v>
      </c>
      <c r="L141" s="27">
        <v>15.0</v>
      </c>
      <c r="M141" s="27">
        <v>102.5289842</v>
      </c>
      <c r="N141" s="27">
        <v>25.4</v>
      </c>
      <c r="O141" s="27">
        <v>112.2</v>
      </c>
      <c r="P141" s="27">
        <v>76.4</v>
      </c>
      <c r="Q141" s="27">
        <v>192.5</v>
      </c>
      <c r="R141" s="27">
        <v>5.115</v>
      </c>
      <c r="S141" s="31">
        <v>40811.0</v>
      </c>
    </row>
    <row r="142" ht="15.75" customHeight="1">
      <c r="A142" s="18" t="s">
        <v>181</v>
      </c>
      <c r="B142" s="19" t="s">
        <v>188</v>
      </c>
      <c r="C142" s="21">
        <v>25106.0</v>
      </c>
      <c r="D142" s="22">
        <v>16888.0</v>
      </c>
      <c r="E142" s="22">
        <v>13325.0</v>
      </c>
      <c r="F142" s="23">
        <f t="shared" si="1"/>
        <v>0.7890217906</v>
      </c>
      <c r="G142" s="23" t="str">
        <f t="shared" si="2"/>
        <v>GOOD</v>
      </c>
      <c r="H142" s="20">
        <v>2.0</v>
      </c>
      <c r="I142" s="20">
        <v>127.0</v>
      </c>
      <c r="J142" s="20" t="str">
        <f t="array" ref="J142">IFS(I142&gt;299,"High HP",I142&gt;99,"Medium HP",I142&lt;100,"Low HP")</f>
        <v>Medium HP</v>
      </c>
      <c r="K142" s="20" t="s">
        <v>43</v>
      </c>
      <c r="L142" s="20">
        <v>27.0</v>
      </c>
      <c r="M142" s="20">
        <v>51.95510887</v>
      </c>
      <c r="N142" s="20">
        <v>15.3</v>
      </c>
      <c r="O142" s="20">
        <v>94.9</v>
      </c>
      <c r="P142" s="20">
        <v>66.7</v>
      </c>
      <c r="Q142" s="20">
        <v>163.8</v>
      </c>
      <c r="R142" s="20">
        <v>2.668</v>
      </c>
      <c r="S142" s="24">
        <v>40669.0</v>
      </c>
    </row>
    <row r="143" ht="15.75" customHeight="1">
      <c r="A143" s="25" t="s">
        <v>181</v>
      </c>
      <c r="B143" s="26" t="s">
        <v>187</v>
      </c>
      <c r="C143" s="28">
        <v>65119.0</v>
      </c>
      <c r="D143" s="29">
        <v>22368.0</v>
      </c>
      <c r="E143" s="29">
        <v>18689.0</v>
      </c>
      <c r="F143" s="30">
        <f t="shared" si="1"/>
        <v>0.8355239628</v>
      </c>
      <c r="G143" s="30" t="str">
        <f t="shared" si="2"/>
        <v>GOOD</v>
      </c>
      <c r="H143" s="27">
        <v>3.0</v>
      </c>
      <c r="I143" s="27">
        <v>194.0</v>
      </c>
      <c r="J143" s="27" t="str">
        <f t="array" ref="J143">IFS(I143&gt;299,"High HP",I143&gt;99,"Medium HP",I143&lt;100,"Low HP")</f>
        <v>Medium HP</v>
      </c>
      <c r="K143" s="27" t="s">
        <v>43</v>
      </c>
      <c r="L143" s="27">
        <v>22.0</v>
      </c>
      <c r="M143" s="27">
        <v>78.02721947</v>
      </c>
      <c r="N143" s="27">
        <v>20.9</v>
      </c>
      <c r="O143" s="27">
        <v>114.2</v>
      </c>
      <c r="P143" s="27">
        <v>73.4</v>
      </c>
      <c r="Q143" s="27">
        <v>193.5</v>
      </c>
      <c r="R143" s="27">
        <v>3.759</v>
      </c>
      <c r="S143" s="31">
        <v>41187.0</v>
      </c>
    </row>
    <row r="144" ht="15.75" customHeight="1">
      <c r="A144" s="18" t="s">
        <v>181</v>
      </c>
      <c r="B144" s="19" t="s">
        <v>186</v>
      </c>
      <c r="C144" s="21">
        <v>84087.0</v>
      </c>
      <c r="D144" s="22">
        <v>11528.0</v>
      </c>
      <c r="E144" s="22">
        <v>9575.0</v>
      </c>
      <c r="F144" s="23">
        <f t="shared" si="1"/>
        <v>0.8305863983</v>
      </c>
      <c r="G144" s="23" t="str">
        <f t="shared" si="2"/>
        <v>GOOD</v>
      </c>
      <c r="H144" s="20">
        <v>2.4</v>
      </c>
      <c r="I144" s="20">
        <v>142.0</v>
      </c>
      <c r="J144" s="20" t="str">
        <f t="array" ref="J144">IFS(I144&gt;299,"High HP",I144&gt;99,"Medium HP",I144&lt;100,"Low HP")</f>
        <v>Medium HP</v>
      </c>
      <c r="K144" s="20" t="s">
        <v>43</v>
      </c>
      <c r="L144" s="20">
        <v>23.0</v>
      </c>
      <c r="M144" s="20">
        <v>55.29711658</v>
      </c>
      <c r="N144" s="20">
        <v>15.1</v>
      </c>
      <c r="O144" s="20">
        <v>103.3</v>
      </c>
      <c r="P144" s="20">
        <v>66.5</v>
      </c>
      <c r="Q144" s="20">
        <v>178.7</v>
      </c>
      <c r="R144" s="20">
        <v>2.58</v>
      </c>
      <c r="S144" s="24">
        <v>40756.0</v>
      </c>
    </row>
    <row r="145" ht="15.75" hidden="1" customHeight="1">
      <c r="A145" s="25" t="s">
        <v>191</v>
      </c>
      <c r="B145" s="26" t="s">
        <v>192</v>
      </c>
      <c r="C145" s="28">
        <v>9761.0</v>
      </c>
      <c r="D145" s="29">
        <v>14900.0</v>
      </c>
      <c r="E145" s="29">
        <v>11425.0</v>
      </c>
      <c r="F145" s="30">
        <f t="shared" si="1"/>
        <v>0.7667785235</v>
      </c>
      <c r="G145" s="30" t="str">
        <f t="shared" si="2"/>
        <v>GOOD</v>
      </c>
      <c r="H145" s="27">
        <v>2.0</v>
      </c>
      <c r="I145" s="27">
        <v>115.0</v>
      </c>
      <c r="J145" s="27" t="str">
        <f t="array" ref="J145">IFS(I145&gt;299,"High HP",I145&gt;99,"Medium HP",I145&lt;100,"Low HP")</f>
        <v>Medium HP</v>
      </c>
      <c r="K145" s="27" t="s">
        <v>21</v>
      </c>
      <c r="L145" s="27">
        <v>26.0</v>
      </c>
      <c r="M145" s="27">
        <v>46.94387676</v>
      </c>
      <c r="N145" s="27">
        <v>14.5</v>
      </c>
      <c r="O145" s="27">
        <v>98.9</v>
      </c>
      <c r="P145" s="27">
        <v>68.3</v>
      </c>
      <c r="Q145" s="27">
        <v>163.3</v>
      </c>
      <c r="R145" s="27">
        <v>2.767</v>
      </c>
      <c r="S145" s="31">
        <v>40567.0</v>
      </c>
    </row>
    <row r="146" ht="15.75" hidden="1" customHeight="1">
      <c r="A146" s="18" t="s">
        <v>191</v>
      </c>
      <c r="B146" s="19" t="s">
        <v>193</v>
      </c>
      <c r="C146" s="21">
        <v>83721.0</v>
      </c>
      <c r="D146" s="22">
        <v>16700.0</v>
      </c>
      <c r="E146" s="22">
        <v>13240.0</v>
      </c>
      <c r="F146" s="23">
        <f t="shared" si="1"/>
        <v>0.7928143713</v>
      </c>
      <c r="G146" s="23" t="str">
        <f t="shared" si="2"/>
        <v>GOOD</v>
      </c>
      <c r="H146" s="20">
        <v>2.0</v>
      </c>
      <c r="I146" s="20">
        <v>115.0</v>
      </c>
      <c r="J146" s="20" t="str">
        <f t="array" ref="J146">IFS(I146&gt;299,"High HP",I146&gt;99,"Medium HP",I146&lt;100,"Low HP")</f>
        <v>Medium HP</v>
      </c>
      <c r="K146" s="20" t="s">
        <v>21</v>
      </c>
      <c r="L146" s="20">
        <v>26.0</v>
      </c>
      <c r="M146" s="20">
        <v>47.63823666</v>
      </c>
      <c r="N146" s="20">
        <v>14.5</v>
      </c>
      <c r="O146" s="20">
        <v>98.9</v>
      </c>
      <c r="P146" s="20">
        <v>68.3</v>
      </c>
      <c r="Q146" s="20">
        <v>172.3</v>
      </c>
      <c r="R146" s="20">
        <v>2.853</v>
      </c>
      <c r="S146" s="24">
        <v>40782.0</v>
      </c>
    </row>
    <row r="147" ht="15.75" hidden="1" customHeight="1">
      <c r="A147" s="25" t="s">
        <v>191</v>
      </c>
      <c r="B147" s="26" t="s">
        <v>194</v>
      </c>
      <c r="C147" s="28">
        <v>51102.0</v>
      </c>
      <c r="D147" s="29">
        <v>21200.0</v>
      </c>
      <c r="E147" s="29">
        <v>16725.0</v>
      </c>
      <c r="F147" s="30">
        <f t="shared" si="1"/>
        <v>0.7889150943</v>
      </c>
      <c r="G147" s="30" t="str">
        <f t="shared" si="2"/>
        <v>GOOD</v>
      </c>
      <c r="H147" s="27">
        <v>1.8</v>
      </c>
      <c r="I147" s="27">
        <v>150.0</v>
      </c>
      <c r="J147" s="27" t="str">
        <f t="array" ref="J147">IFS(I147&gt;299,"High HP",I147&gt;99,"Medium HP",I147&lt;100,"Low HP")</f>
        <v>Medium HP</v>
      </c>
      <c r="K147" s="27" t="s">
        <v>21</v>
      </c>
      <c r="L147" s="27">
        <v>27.0</v>
      </c>
      <c r="M147" s="27">
        <v>61.70138136</v>
      </c>
      <c r="N147" s="27">
        <v>16.4</v>
      </c>
      <c r="O147" s="27">
        <v>106.4</v>
      </c>
      <c r="P147" s="27">
        <v>68.5</v>
      </c>
      <c r="Q147" s="27">
        <v>184.1</v>
      </c>
      <c r="R147" s="27">
        <v>3.043</v>
      </c>
      <c r="S147" s="31">
        <v>41212.0</v>
      </c>
    </row>
    <row r="148" ht="15.75" hidden="1" customHeight="1">
      <c r="A148" s="18" t="s">
        <v>191</v>
      </c>
      <c r="B148" s="19" t="s">
        <v>195</v>
      </c>
      <c r="C148" s="21">
        <v>9569.0</v>
      </c>
      <c r="D148" s="22">
        <v>19990.0</v>
      </c>
      <c r="E148" s="22">
        <v>16575.0</v>
      </c>
      <c r="F148" s="23">
        <f t="shared" si="1"/>
        <v>0.8291645823</v>
      </c>
      <c r="G148" s="23" t="str">
        <f t="shared" si="2"/>
        <v>GOOD</v>
      </c>
      <c r="H148" s="20">
        <v>2.0</v>
      </c>
      <c r="I148" s="20">
        <v>115.0</v>
      </c>
      <c r="J148" s="20" t="str">
        <f t="array" ref="J148">IFS(I148&gt;299,"High HP",I148&gt;99,"Medium HP",I148&lt;100,"Low HP")</f>
        <v>Medium HP</v>
      </c>
      <c r="K148" s="20" t="s">
        <v>21</v>
      </c>
      <c r="L148" s="20">
        <v>26.0</v>
      </c>
      <c r="M148" s="20">
        <v>48.90737225</v>
      </c>
      <c r="N148" s="20">
        <v>13.7</v>
      </c>
      <c r="O148" s="20">
        <v>97.4</v>
      </c>
      <c r="P148" s="20">
        <v>66.7</v>
      </c>
      <c r="Q148" s="20">
        <v>160.4</v>
      </c>
      <c r="R148" s="20">
        <v>3.079</v>
      </c>
      <c r="S148" s="24">
        <v>40694.0</v>
      </c>
    </row>
    <row r="149" ht="15.75" hidden="1" customHeight="1">
      <c r="A149" s="25" t="s">
        <v>191</v>
      </c>
      <c r="B149" s="26" t="s">
        <v>196</v>
      </c>
      <c r="C149" s="28">
        <v>5596.0</v>
      </c>
      <c r="D149" s="29">
        <v>17500.0</v>
      </c>
      <c r="E149" s="29">
        <v>13760.0</v>
      </c>
      <c r="F149" s="30">
        <f t="shared" si="1"/>
        <v>0.7862857143</v>
      </c>
      <c r="G149" s="30" t="str">
        <f t="shared" si="2"/>
        <v>GOOD</v>
      </c>
      <c r="H149" s="27">
        <v>2.0</v>
      </c>
      <c r="I149" s="27">
        <v>115.0</v>
      </c>
      <c r="J149" s="27" t="str">
        <f t="array" ref="J149">IFS(I149&gt;299,"High HP",I149&gt;99,"Medium HP",I149&lt;100,"Low HP")</f>
        <v>Medium HP</v>
      </c>
      <c r="K149" s="27" t="s">
        <v>21</v>
      </c>
      <c r="L149" s="27">
        <v>26.0</v>
      </c>
      <c r="M149" s="27">
        <v>47.94684106</v>
      </c>
      <c r="N149" s="27">
        <v>14.6</v>
      </c>
      <c r="O149" s="27">
        <v>98.9</v>
      </c>
      <c r="P149" s="27">
        <v>68.3</v>
      </c>
      <c r="Q149" s="27">
        <v>163.3</v>
      </c>
      <c r="R149" s="27">
        <v>2.762</v>
      </c>
      <c r="S149" s="31">
        <v>40634.0</v>
      </c>
    </row>
    <row r="150" ht="15.75" hidden="1" customHeight="1">
      <c r="A150" s="18" t="s">
        <v>191</v>
      </c>
      <c r="B150" s="19" t="s">
        <v>197</v>
      </c>
      <c r="C150" s="21">
        <v>49463.0</v>
      </c>
      <c r="D150" s="22">
        <v>15900.0</v>
      </c>
      <c r="E150" s="22">
        <v>11986.0</v>
      </c>
      <c r="F150" s="23">
        <f t="shared" si="1"/>
        <v>0.753836478</v>
      </c>
      <c r="G150" s="23" t="str">
        <f t="shared" si="2"/>
        <v>GOOD</v>
      </c>
      <c r="H150" s="20">
        <v>2.0</v>
      </c>
      <c r="I150" s="20">
        <v>115.0</v>
      </c>
      <c r="J150" s="20" t="str">
        <f t="array" ref="J150">IFS(I150&gt;299,"High HP",I150&gt;99,"Medium HP",I150&lt;100,"Low HP")</f>
        <v>Medium HP</v>
      </c>
      <c r="K150" s="20" t="s">
        <v>21</v>
      </c>
      <c r="L150" s="20">
        <v>26.0</v>
      </c>
      <c r="M150" s="20">
        <v>47.32963226</v>
      </c>
      <c r="N150" s="20">
        <v>14.5</v>
      </c>
      <c r="O150" s="20">
        <v>98.9</v>
      </c>
      <c r="P150" s="20">
        <v>67.9</v>
      </c>
      <c r="Q150" s="20">
        <v>161.1</v>
      </c>
      <c r="R150" s="20">
        <v>2.769</v>
      </c>
      <c r="S150" s="24">
        <v>40836.0</v>
      </c>
    </row>
    <row r="151" ht="15.75" hidden="1" customHeight="1">
      <c r="A151" s="25" t="s">
        <v>198</v>
      </c>
      <c r="B151" s="26" t="s">
        <v>199</v>
      </c>
      <c r="C151" s="28">
        <v>16957.0</v>
      </c>
      <c r="D151" s="29">
        <v>23400.0</v>
      </c>
      <c r="E151" s="29">
        <v>14334.0</v>
      </c>
      <c r="F151" s="30">
        <f t="shared" si="1"/>
        <v>0.6125641026</v>
      </c>
      <c r="G151" s="30" t="str">
        <f t="shared" si="2"/>
        <v>POOR</v>
      </c>
      <c r="H151" s="27">
        <v>1.9</v>
      </c>
      <c r="I151" s="27">
        <v>160.0</v>
      </c>
      <c r="J151" s="27" t="str">
        <f t="array" ref="J151">IFS(I151&gt;299,"High HP",I151&gt;99,"Medium HP",I151&lt;100,"Low HP")</f>
        <v>Medium HP</v>
      </c>
      <c r="K151" s="27" t="s">
        <v>21</v>
      </c>
      <c r="L151" s="27">
        <v>25.0</v>
      </c>
      <c r="M151" s="27">
        <v>66.1130568</v>
      </c>
      <c r="N151" s="27">
        <v>15.8</v>
      </c>
      <c r="O151" s="27">
        <v>100.5</v>
      </c>
      <c r="P151" s="27">
        <v>67.6</v>
      </c>
      <c r="Q151" s="27">
        <v>176.6</v>
      </c>
      <c r="R151" s="27">
        <v>2.998</v>
      </c>
      <c r="S151" s="31">
        <v>40592.0</v>
      </c>
    </row>
    <row r="152" ht="15.75" hidden="1" customHeight="1">
      <c r="A152" s="18" t="s">
        <v>198</v>
      </c>
      <c r="B152" s="19" t="s">
        <v>200</v>
      </c>
      <c r="C152" s="21">
        <v>3545.0</v>
      </c>
      <c r="D152" s="22">
        <v>24400.0</v>
      </c>
      <c r="E152" s="22">
        <v>15252.0</v>
      </c>
      <c r="F152" s="23">
        <f t="shared" si="1"/>
        <v>0.6250819672</v>
      </c>
      <c r="G152" s="23" t="str">
        <f t="shared" si="2"/>
        <v>POOR</v>
      </c>
      <c r="H152" s="20">
        <v>1.9</v>
      </c>
      <c r="I152" s="20">
        <v>160.0</v>
      </c>
      <c r="J152" s="20" t="str">
        <f t="array" ref="J152">IFS(I152&gt;299,"High HP",I152&gt;99,"Medium HP",I152&lt;100,"Low HP")</f>
        <v>Medium HP</v>
      </c>
      <c r="K152" s="20" t="s">
        <v>21</v>
      </c>
      <c r="L152" s="20">
        <v>25.0</v>
      </c>
      <c r="M152" s="20">
        <v>66.4988123</v>
      </c>
      <c r="N152" s="20">
        <v>15.8</v>
      </c>
      <c r="O152" s="20">
        <v>100.5</v>
      </c>
      <c r="P152" s="20">
        <v>67.6</v>
      </c>
      <c r="Q152" s="20">
        <v>176.6</v>
      </c>
      <c r="R152" s="20">
        <v>3.042</v>
      </c>
      <c r="S152" s="24">
        <v>40807.0</v>
      </c>
    </row>
    <row r="153" ht="15.75" hidden="1" customHeight="1">
      <c r="A153" s="25" t="s">
        <v>198</v>
      </c>
      <c r="B153" s="26" t="s">
        <v>201</v>
      </c>
      <c r="C153" s="28">
        <v>15245.0</v>
      </c>
      <c r="D153" s="29">
        <v>27500.0</v>
      </c>
      <c r="E153" s="29">
        <v>18900.0</v>
      </c>
      <c r="F153" s="30">
        <f t="shared" si="1"/>
        <v>0.6872727273</v>
      </c>
      <c r="G153" s="30" t="str">
        <f t="shared" si="2"/>
        <v>POOR</v>
      </c>
      <c r="H153" s="27">
        <v>2.4</v>
      </c>
      <c r="I153" s="27">
        <v>168.0</v>
      </c>
      <c r="J153" s="27" t="str">
        <f t="array" ref="J153">IFS(I153&gt;299,"High HP",I153&gt;99,"Medium HP",I153&lt;100,"Low HP")</f>
        <v>Medium HP</v>
      </c>
      <c r="K153" s="27" t="s">
        <v>21</v>
      </c>
      <c r="L153" s="27">
        <v>25.0</v>
      </c>
      <c r="M153" s="27">
        <v>70.65449545</v>
      </c>
      <c r="N153" s="27">
        <v>17.9</v>
      </c>
      <c r="O153" s="27">
        <v>104.9</v>
      </c>
      <c r="P153" s="27">
        <v>69.3</v>
      </c>
      <c r="Q153" s="27">
        <v>185.9</v>
      </c>
      <c r="R153" s="27">
        <v>3.208</v>
      </c>
      <c r="S153" s="31">
        <v>41237.0</v>
      </c>
    </row>
    <row r="154" ht="15.75" hidden="1" customHeight="1">
      <c r="A154" s="18" t="s">
        <v>198</v>
      </c>
      <c r="B154" s="19" t="s">
        <v>202</v>
      </c>
      <c r="C154" s="21">
        <v>17531.0</v>
      </c>
      <c r="D154" s="22">
        <v>28800.0</v>
      </c>
      <c r="E154" s="22">
        <v>20223.0</v>
      </c>
      <c r="F154" s="23">
        <f t="shared" si="1"/>
        <v>0.7021875</v>
      </c>
      <c r="G154" s="23" t="str">
        <f t="shared" si="2"/>
        <v>GOOD</v>
      </c>
      <c r="H154" s="20">
        <v>2.4</v>
      </c>
      <c r="I154" s="20">
        <v>168.0</v>
      </c>
      <c r="J154" s="20" t="str">
        <f t="array" ref="J154">IFS(I154&gt;299,"High HP",I154&gt;99,"Medium HP",I154&lt;100,"Low HP")</f>
        <v>Medium HP</v>
      </c>
      <c r="K154" s="20" t="s">
        <v>21</v>
      </c>
      <c r="L154" s="20">
        <v>25.0</v>
      </c>
      <c r="M154" s="20">
        <v>71.1559776</v>
      </c>
      <c r="N154" s="20">
        <v>17.9</v>
      </c>
      <c r="O154" s="20">
        <v>104.9</v>
      </c>
      <c r="P154" s="20">
        <v>69.3</v>
      </c>
      <c r="Q154" s="20">
        <v>186.2</v>
      </c>
      <c r="R154" s="20">
        <v>3.259</v>
      </c>
      <c r="S154" s="24">
        <v>40719.0</v>
      </c>
    </row>
    <row r="155" ht="15.75" hidden="1" customHeight="1">
      <c r="A155" s="25" t="s">
        <v>198</v>
      </c>
      <c r="B155" s="26" t="s">
        <v>203</v>
      </c>
      <c r="C155" s="28">
        <v>3493.0</v>
      </c>
      <c r="D155" s="29">
        <v>45500.0</v>
      </c>
      <c r="E155" s="29">
        <v>34175.0</v>
      </c>
      <c r="F155" s="30">
        <f t="shared" si="1"/>
        <v>0.7510989011</v>
      </c>
      <c r="G155" s="30" t="str">
        <f t="shared" si="2"/>
        <v>GOOD</v>
      </c>
      <c r="H155" s="27">
        <v>2.3</v>
      </c>
      <c r="I155" s="27">
        <v>236.0</v>
      </c>
      <c r="J155" s="27" t="str">
        <f t="array" ref="J155">IFS(I155&gt;299,"High HP",I155&gt;99,"Medium HP",I155&lt;100,"Low HP")</f>
        <v>Medium HP</v>
      </c>
      <c r="K155" s="27" t="s">
        <v>21</v>
      </c>
      <c r="L155" s="27">
        <v>23.0</v>
      </c>
      <c r="M155" s="27">
        <v>101.6233572</v>
      </c>
      <c r="N155" s="27">
        <v>18.5</v>
      </c>
      <c r="O155" s="27">
        <v>104.9</v>
      </c>
      <c r="P155" s="27">
        <v>71.5</v>
      </c>
      <c r="Q155" s="27">
        <v>185.7</v>
      </c>
      <c r="R155" s="27">
        <v>3.601</v>
      </c>
      <c r="S155" s="31">
        <v>40659.0</v>
      </c>
    </row>
    <row r="156" ht="15.75" hidden="1" customHeight="1">
      <c r="A156" s="18" t="s">
        <v>198</v>
      </c>
      <c r="B156" s="19" t="s">
        <v>204</v>
      </c>
      <c r="C156" s="21">
        <v>18969.0</v>
      </c>
      <c r="D156" s="22">
        <v>36000.0</v>
      </c>
      <c r="E156" s="22">
        <v>26403.0</v>
      </c>
      <c r="F156" s="23">
        <f t="shared" si="1"/>
        <v>0.7334166667</v>
      </c>
      <c r="G156" s="23" t="str">
        <f t="shared" si="2"/>
        <v>GOOD</v>
      </c>
      <c r="H156" s="20">
        <v>2.9</v>
      </c>
      <c r="I156" s="20">
        <v>201.0</v>
      </c>
      <c r="J156" s="20" t="str">
        <f t="array" ref="J156">IFS(I156&gt;299,"High HP",I156&gt;99,"Medium HP",I156&lt;100,"Low HP")</f>
        <v>Medium HP</v>
      </c>
      <c r="K156" s="20" t="s">
        <v>21</v>
      </c>
      <c r="L156" s="20">
        <v>24.0</v>
      </c>
      <c r="M156" s="20">
        <v>85.73565451</v>
      </c>
      <c r="N156" s="20">
        <v>21.1</v>
      </c>
      <c r="O156" s="20">
        <v>109.9</v>
      </c>
      <c r="P156" s="20">
        <v>72.1</v>
      </c>
      <c r="Q156" s="20">
        <v>189.8</v>
      </c>
      <c r="R156" s="20">
        <v>3.6</v>
      </c>
      <c r="S156" s="24">
        <v>40861.0</v>
      </c>
    </row>
    <row r="157" ht="15.75" hidden="1" customHeight="1">
      <c r="D157" s="15"/>
    </row>
    <row r="158" ht="15.75" hidden="1" customHeight="1">
      <c r="D158" s="15"/>
    </row>
    <row r="159" ht="15.75" hidden="1" customHeight="1">
      <c r="D159" s="15"/>
    </row>
    <row r="160" ht="15.75" hidden="1" customHeight="1">
      <c r="D160" s="15"/>
    </row>
    <row r="161" ht="15.75" hidden="1" customHeight="1">
      <c r="D161" s="15"/>
    </row>
    <row r="162" ht="15.75" hidden="1" customHeight="1">
      <c r="D162" s="15"/>
    </row>
    <row r="163" ht="15.75" hidden="1" customHeight="1">
      <c r="D163" s="15"/>
    </row>
    <row r="164" ht="15.75" hidden="1" customHeight="1">
      <c r="D164" s="15"/>
    </row>
    <row r="165" ht="15.75" hidden="1" customHeight="1">
      <c r="D165" s="15"/>
    </row>
    <row r="166" ht="15.75" hidden="1" customHeight="1">
      <c r="D166" s="15"/>
    </row>
    <row r="167" ht="15.75" hidden="1" customHeight="1">
      <c r="D167" s="15"/>
    </row>
    <row r="168" ht="15.75" hidden="1" customHeight="1">
      <c r="D168" s="15"/>
    </row>
    <row r="169" ht="15.75" hidden="1" customHeight="1">
      <c r="D169" s="15"/>
    </row>
    <row r="170" ht="15.75" hidden="1" customHeight="1">
      <c r="D170" s="15"/>
    </row>
    <row r="171" ht="15.75" hidden="1" customHeight="1">
      <c r="D171" s="15"/>
    </row>
    <row r="172" ht="15.75" hidden="1" customHeight="1">
      <c r="D172" s="15"/>
    </row>
    <row r="173" ht="15.75" hidden="1" customHeight="1">
      <c r="D173" s="15"/>
    </row>
    <row r="174" ht="15.75" hidden="1" customHeight="1">
      <c r="D174" s="15"/>
    </row>
    <row r="175" ht="15.75" hidden="1" customHeight="1">
      <c r="D175" s="15"/>
    </row>
    <row r="176" ht="15.75" hidden="1" customHeight="1">
      <c r="D176" s="15"/>
    </row>
    <row r="177" ht="15.75" hidden="1" customHeight="1">
      <c r="D177" s="15"/>
    </row>
    <row r="178" ht="15.75" hidden="1" customHeight="1">
      <c r="D178" s="15"/>
    </row>
    <row r="179" ht="15.75" hidden="1" customHeight="1">
      <c r="D179" s="15"/>
    </row>
    <row r="180" ht="15.75" hidden="1" customHeight="1">
      <c r="D180" s="15"/>
    </row>
    <row r="181" ht="15.75" hidden="1" customHeight="1">
      <c r="D181" s="15"/>
    </row>
    <row r="182" ht="15.75" hidden="1" customHeight="1">
      <c r="D182" s="15"/>
    </row>
    <row r="183" ht="15.75" hidden="1" customHeight="1">
      <c r="D183" s="15"/>
    </row>
    <row r="184" ht="15.75" hidden="1" customHeight="1">
      <c r="D184" s="15"/>
    </row>
    <row r="185" ht="15.75" hidden="1" customHeight="1">
      <c r="D185" s="15"/>
    </row>
    <row r="186" ht="15.75" hidden="1" customHeight="1">
      <c r="D186" s="15"/>
    </row>
    <row r="187" ht="15.75" hidden="1" customHeight="1">
      <c r="D187" s="15"/>
    </row>
    <row r="188" ht="15.75" hidden="1" customHeight="1">
      <c r="D188" s="15"/>
    </row>
    <row r="189" ht="15.75" hidden="1" customHeight="1">
      <c r="D189" s="15"/>
    </row>
    <row r="190" ht="15.75" hidden="1" customHeight="1">
      <c r="D190" s="15"/>
    </row>
    <row r="191" ht="15.75" hidden="1" customHeight="1">
      <c r="D191" s="15"/>
    </row>
    <row r="192" ht="15.75" hidden="1" customHeight="1">
      <c r="D192" s="15"/>
    </row>
    <row r="193" ht="15.75" hidden="1" customHeight="1">
      <c r="D193" s="15"/>
    </row>
    <row r="194" ht="15.75" hidden="1" customHeight="1">
      <c r="D194" s="15"/>
    </row>
    <row r="195" ht="15.75" hidden="1" customHeight="1">
      <c r="D195" s="15"/>
    </row>
    <row r="196" ht="15.75" hidden="1" customHeight="1">
      <c r="D196" s="15"/>
    </row>
    <row r="197" ht="15.75" hidden="1" customHeight="1">
      <c r="D197" s="15"/>
    </row>
    <row r="198" ht="15.75" hidden="1" customHeight="1">
      <c r="D198" s="15"/>
    </row>
    <row r="199" ht="15.75" hidden="1" customHeight="1">
      <c r="D199" s="15"/>
    </row>
    <row r="200" ht="15.75" hidden="1" customHeight="1">
      <c r="D200" s="15"/>
    </row>
    <row r="201" ht="15.75" hidden="1" customHeight="1">
      <c r="D201" s="15"/>
    </row>
    <row r="202" ht="15.75" hidden="1" customHeight="1">
      <c r="D202" s="15"/>
    </row>
    <row r="203" ht="15.75" hidden="1" customHeight="1">
      <c r="D203" s="15"/>
    </row>
    <row r="204" ht="15.75" hidden="1" customHeight="1">
      <c r="D204" s="15"/>
    </row>
    <row r="205" ht="15.75" hidden="1" customHeight="1">
      <c r="D205" s="15"/>
    </row>
    <row r="206" ht="15.75" hidden="1" customHeight="1">
      <c r="D206" s="15"/>
    </row>
    <row r="207" ht="15.75" hidden="1" customHeight="1">
      <c r="D207" s="15"/>
    </row>
    <row r="208" ht="15.75" hidden="1" customHeight="1">
      <c r="D208" s="15"/>
    </row>
    <row r="209" ht="15.75" hidden="1" customHeight="1">
      <c r="D209" s="15"/>
    </row>
    <row r="210" ht="15.75" hidden="1" customHeight="1">
      <c r="D210" s="15"/>
    </row>
    <row r="211" ht="15.75" hidden="1" customHeight="1">
      <c r="D211" s="15"/>
    </row>
    <row r="212" ht="15.75" hidden="1" customHeight="1">
      <c r="D212" s="15"/>
    </row>
    <row r="213" ht="15.75" hidden="1" customHeight="1">
      <c r="D213" s="15"/>
    </row>
    <row r="214" ht="15.75" hidden="1" customHeight="1">
      <c r="D214" s="15"/>
    </row>
    <row r="215" ht="15.75" hidden="1" customHeight="1">
      <c r="D215" s="15"/>
    </row>
    <row r="216" ht="15.75" hidden="1" customHeight="1">
      <c r="D216" s="15"/>
    </row>
    <row r="217" ht="15.75" hidden="1" customHeight="1">
      <c r="D217" s="15"/>
    </row>
    <row r="218" ht="15.75" hidden="1" customHeight="1">
      <c r="D218" s="15"/>
    </row>
    <row r="219" ht="15.75" hidden="1" customHeight="1">
      <c r="D219" s="15"/>
    </row>
    <row r="220" ht="15.75" hidden="1" customHeight="1">
      <c r="D220" s="15"/>
    </row>
    <row r="221" ht="15.75" hidden="1" customHeight="1">
      <c r="D221" s="15"/>
    </row>
    <row r="222" ht="15.75" hidden="1" customHeight="1">
      <c r="D222" s="15"/>
    </row>
    <row r="223" ht="15.75" hidden="1" customHeight="1">
      <c r="D223" s="15"/>
    </row>
    <row r="224" ht="15.75" hidden="1" customHeight="1">
      <c r="D224" s="15"/>
    </row>
    <row r="225" ht="15.75" hidden="1" customHeight="1">
      <c r="D225" s="15"/>
    </row>
    <row r="226" ht="15.75" hidden="1" customHeight="1">
      <c r="D226" s="15"/>
    </row>
    <row r="227" ht="15.75" hidden="1" customHeight="1">
      <c r="D227" s="15"/>
    </row>
    <row r="228" ht="15.75" hidden="1" customHeight="1">
      <c r="D228" s="15"/>
    </row>
    <row r="229" ht="15.75" hidden="1" customHeight="1">
      <c r="D229" s="15"/>
    </row>
    <row r="230" ht="15.75" hidden="1" customHeight="1">
      <c r="D230" s="15"/>
    </row>
    <row r="231" ht="15.75" hidden="1" customHeight="1">
      <c r="D231" s="15"/>
    </row>
    <row r="232" ht="15.75" hidden="1" customHeight="1">
      <c r="D232" s="15"/>
    </row>
    <row r="233" ht="15.75" hidden="1" customHeight="1">
      <c r="D233" s="15"/>
    </row>
    <row r="234" ht="15.75" hidden="1" customHeight="1">
      <c r="D234" s="15"/>
    </row>
    <row r="235" ht="15.75" hidden="1" customHeight="1">
      <c r="D235" s="15"/>
    </row>
    <row r="236" ht="15.75" hidden="1" customHeight="1">
      <c r="D236" s="15"/>
    </row>
    <row r="237" ht="15.75" hidden="1" customHeight="1">
      <c r="D237" s="15"/>
    </row>
    <row r="238" ht="15.75" hidden="1" customHeight="1">
      <c r="D238" s="15"/>
    </row>
    <row r="239" ht="15.75" hidden="1" customHeight="1">
      <c r="D239" s="15"/>
    </row>
    <row r="240" ht="15.75" hidden="1" customHeight="1">
      <c r="D240" s="15"/>
    </row>
    <row r="241" ht="15.75" hidden="1" customHeight="1">
      <c r="D241" s="15"/>
    </row>
    <row r="242" ht="15.75" hidden="1" customHeight="1">
      <c r="D242" s="15"/>
    </row>
    <row r="243" ht="15.75" hidden="1" customHeight="1">
      <c r="D243" s="15"/>
    </row>
    <row r="244" ht="15.75" hidden="1" customHeight="1">
      <c r="D244" s="15"/>
    </row>
    <row r="245" ht="15.75" hidden="1" customHeight="1">
      <c r="D245" s="15"/>
    </row>
    <row r="246" ht="15.75" hidden="1" customHeight="1">
      <c r="D246" s="15"/>
    </row>
    <row r="247" ht="15.75" hidden="1" customHeight="1">
      <c r="D247" s="15"/>
    </row>
    <row r="248" ht="15.75" hidden="1" customHeight="1">
      <c r="D248" s="15"/>
    </row>
    <row r="249" ht="15.75" hidden="1" customHeight="1">
      <c r="D249" s="15"/>
    </row>
    <row r="250" ht="15.75" hidden="1" customHeight="1">
      <c r="D250" s="15"/>
    </row>
    <row r="251" ht="15.75" hidden="1" customHeight="1">
      <c r="D251" s="15"/>
    </row>
    <row r="252" ht="15.75" hidden="1" customHeight="1">
      <c r="D252" s="15"/>
    </row>
    <row r="253" ht="15.75" hidden="1" customHeight="1">
      <c r="D253" s="15"/>
    </row>
    <row r="254" ht="15.75" hidden="1" customHeight="1">
      <c r="D254" s="15"/>
    </row>
    <row r="255" ht="15.75" hidden="1" customHeight="1">
      <c r="D255" s="15"/>
    </row>
    <row r="256" ht="15.75" hidden="1" customHeight="1">
      <c r="D256" s="15"/>
    </row>
    <row r="257" ht="15.75" hidden="1" customHeight="1">
      <c r="D257" s="15"/>
    </row>
    <row r="258" ht="15.75" hidden="1" customHeight="1">
      <c r="D258" s="15"/>
    </row>
    <row r="259" ht="15.75" hidden="1" customHeight="1">
      <c r="D259" s="15"/>
    </row>
    <row r="260" ht="15.75" hidden="1" customHeight="1">
      <c r="D260" s="15"/>
    </row>
    <row r="261" ht="15.75" hidden="1" customHeight="1">
      <c r="D261" s="15"/>
    </row>
    <row r="262" ht="15.75" hidden="1" customHeight="1">
      <c r="D262" s="15"/>
    </row>
    <row r="263" ht="15.75" hidden="1" customHeight="1">
      <c r="D263" s="15"/>
    </row>
    <row r="264" ht="15.75" hidden="1" customHeight="1">
      <c r="D264" s="15"/>
    </row>
    <row r="265" ht="15.75" hidden="1" customHeight="1">
      <c r="D265" s="15"/>
    </row>
    <row r="266" ht="15.75" hidden="1" customHeight="1">
      <c r="D266" s="15"/>
    </row>
    <row r="267" ht="15.75" hidden="1" customHeight="1">
      <c r="D267" s="15"/>
    </row>
    <row r="268" ht="15.75" hidden="1" customHeight="1">
      <c r="D268" s="15"/>
    </row>
    <row r="269" ht="15.75" hidden="1" customHeight="1">
      <c r="D269" s="15"/>
    </row>
    <row r="270" ht="15.75" hidden="1" customHeight="1">
      <c r="D270" s="15"/>
    </row>
    <row r="271" ht="15.75" hidden="1" customHeight="1">
      <c r="D271" s="15"/>
    </row>
    <row r="272" ht="15.75" hidden="1" customHeight="1">
      <c r="D272" s="15"/>
    </row>
    <row r="273" ht="15.75" hidden="1" customHeight="1">
      <c r="D273" s="15"/>
    </row>
    <row r="274" ht="15.75" hidden="1" customHeight="1">
      <c r="D274" s="15"/>
    </row>
    <row r="275" ht="15.75" hidden="1" customHeight="1">
      <c r="D275" s="15"/>
    </row>
    <row r="276" ht="15.75" hidden="1" customHeight="1">
      <c r="D276" s="15"/>
    </row>
    <row r="277" ht="15.75" hidden="1" customHeight="1">
      <c r="D277" s="15"/>
    </row>
    <row r="278" ht="15.75" hidden="1" customHeight="1">
      <c r="D278" s="15"/>
    </row>
    <row r="279" ht="15.75" hidden="1" customHeight="1">
      <c r="D279" s="15"/>
    </row>
    <row r="280" ht="15.75" hidden="1" customHeight="1">
      <c r="D280" s="15"/>
    </row>
    <row r="281" ht="15.75" hidden="1" customHeight="1">
      <c r="D281" s="15"/>
    </row>
    <row r="282" ht="15.75" hidden="1" customHeight="1">
      <c r="D282" s="15"/>
    </row>
    <row r="283" ht="15.75" hidden="1" customHeight="1">
      <c r="D283" s="15"/>
    </row>
    <row r="284" ht="15.75" hidden="1" customHeight="1">
      <c r="D284" s="15"/>
    </row>
    <row r="285" ht="15.75" hidden="1" customHeight="1">
      <c r="D285" s="15"/>
    </row>
    <row r="286" ht="15.75" hidden="1" customHeight="1">
      <c r="D286" s="15"/>
    </row>
    <row r="287" ht="15.75" hidden="1" customHeight="1">
      <c r="D287" s="15"/>
    </row>
    <row r="288" ht="15.75" hidden="1" customHeight="1">
      <c r="D288" s="15"/>
    </row>
    <row r="289" ht="15.75" hidden="1" customHeight="1">
      <c r="D289" s="15"/>
    </row>
    <row r="290" ht="15.75" hidden="1" customHeight="1">
      <c r="D290" s="15"/>
    </row>
    <row r="291" ht="15.75" hidden="1" customHeight="1">
      <c r="D291" s="15"/>
    </row>
    <row r="292" ht="15.75" hidden="1" customHeight="1">
      <c r="D292" s="15"/>
    </row>
    <row r="293" ht="15.75" hidden="1" customHeight="1">
      <c r="D293" s="15"/>
    </row>
    <row r="294" ht="15.75" hidden="1" customHeight="1">
      <c r="D294" s="15"/>
    </row>
    <row r="295" ht="15.75" hidden="1" customHeight="1">
      <c r="D295" s="15"/>
    </row>
    <row r="296" ht="15.75" hidden="1" customHeight="1">
      <c r="D296" s="15"/>
    </row>
    <row r="297" ht="15.75" hidden="1" customHeight="1">
      <c r="D297" s="15"/>
    </row>
    <row r="298" ht="15.75" hidden="1" customHeight="1">
      <c r="D298" s="15"/>
    </row>
    <row r="299" ht="15.75" hidden="1" customHeight="1">
      <c r="D299" s="15"/>
    </row>
    <row r="300" ht="15.75" hidden="1" customHeight="1">
      <c r="D300" s="15"/>
    </row>
    <row r="301" ht="15.75" hidden="1" customHeight="1">
      <c r="D301" s="15"/>
    </row>
    <row r="302" ht="15.75" hidden="1" customHeight="1">
      <c r="D302" s="15"/>
    </row>
    <row r="303" ht="15.75" hidden="1" customHeight="1">
      <c r="D303" s="15"/>
    </row>
    <row r="304" ht="15.75" hidden="1" customHeight="1">
      <c r="D304" s="15"/>
    </row>
    <row r="305" ht="15.75" hidden="1" customHeight="1">
      <c r="D305" s="15"/>
    </row>
    <row r="306" ht="15.75" hidden="1" customHeight="1">
      <c r="D306" s="15"/>
    </row>
    <row r="307" ht="15.75" hidden="1" customHeight="1">
      <c r="D307" s="15"/>
    </row>
    <row r="308" ht="15.75" hidden="1" customHeight="1">
      <c r="D308" s="15"/>
    </row>
    <row r="309" ht="15.75" hidden="1" customHeight="1">
      <c r="D309" s="15"/>
    </row>
    <row r="310" ht="15.75" hidden="1" customHeight="1">
      <c r="D310" s="15"/>
    </row>
    <row r="311" ht="15.75" hidden="1" customHeight="1">
      <c r="D311" s="15"/>
    </row>
    <row r="312" ht="15.75" hidden="1" customHeight="1">
      <c r="D312" s="15"/>
    </row>
    <row r="313" ht="15.75" hidden="1" customHeight="1">
      <c r="D313" s="15"/>
    </row>
    <row r="314" ht="15.75" hidden="1" customHeight="1">
      <c r="D314" s="15"/>
    </row>
    <row r="315" ht="15.75" hidden="1" customHeight="1">
      <c r="D315" s="15"/>
    </row>
    <row r="316" ht="15.75" hidden="1" customHeight="1">
      <c r="D316" s="15"/>
    </row>
    <row r="317" ht="15.75" hidden="1" customHeight="1">
      <c r="D317" s="15"/>
    </row>
    <row r="318" ht="15.75" hidden="1" customHeight="1">
      <c r="D318" s="15"/>
    </row>
    <row r="319" ht="15.75" hidden="1" customHeight="1">
      <c r="D319" s="15"/>
    </row>
    <row r="320" ht="15.75" hidden="1" customHeight="1">
      <c r="D320" s="15"/>
    </row>
    <row r="321" ht="15.75" hidden="1" customHeight="1">
      <c r="D321" s="15"/>
    </row>
    <row r="322" ht="15.75" hidden="1" customHeight="1">
      <c r="D322" s="15"/>
    </row>
    <row r="323" ht="15.75" hidden="1" customHeight="1">
      <c r="D323" s="15"/>
    </row>
    <row r="324" ht="15.75" hidden="1" customHeight="1">
      <c r="D324" s="15"/>
    </row>
    <row r="325" ht="15.75" hidden="1" customHeight="1">
      <c r="D325" s="15"/>
    </row>
    <row r="326" ht="15.75" hidden="1" customHeight="1">
      <c r="D326" s="15"/>
    </row>
    <row r="327" ht="15.75" hidden="1" customHeight="1">
      <c r="D327" s="15"/>
    </row>
    <row r="328" ht="15.75" hidden="1" customHeight="1">
      <c r="D328" s="15"/>
    </row>
    <row r="329" ht="15.75" hidden="1" customHeight="1">
      <c r="D329" s="15"/>
    </row>
    <row r="330" ht="15.75" hidden="1" customHeight="1">
      <c r="D330" s="15"/>
    </row>
    <row r="331" ht="15.75" hidden="1" customHeight="1">
      <c r="D331" s="15"/>
    </row>
    <row r="332" ht="15.75" hidden="1" customHeight="1">
      <c r="D332" s="15"/>
    </row>
    <row r="333" ht="15.75" hidden="1" customHeight="1">
      <c r="D333" s="15"/>
    </row>
    <row r="334" ht="15.75" hidden="1" customHeight="1">
      <c r="D334" s="15"/>
    </row>
    <row r="335" ht="15.75" hidden="1" customHeight="1">
      <c r="D335" s="15"/>
    </row>
    <row r="336" ht="15.75" hidden="1" customHeight="1">
      <c r="D336" s="15"/>
    </row>
    <row r="337" ht="15.75" hidden="1" customHeight="1">
      <c r="D337" s="15"/>
    </row>
    <row r="338" ht="15.75" hidden="1" customHeight="1">
      <c r="D338" s="15"/>
    </row>
    <row r="339" ht="15.75" hidden="1" customHeight="1">
      <c r="D339" s="15"/>
    </row>
    <row r="340" ht="15.75" hidden="1" customHeight="1">
      <c r="D340" s="15"/>
    </row>
    <row r="341" ht="15.75" hidden="1" customHeight="1">
      <c r="D341" s="15"/>
    </row>
    <row r="342" ht="15.75" hidden="1" customHeight="1">
      <c r="D342" s="15"/>
    </row>
    <row r="343" ht="15.75" hidden="1" customHeight="1">
      <c r="D343" s="15"/>
    </row>
    <row r="344" ht="15.75" hidden="1" customHeight="1">
      <c r="D344" s="15"/>
    </row>
    <row r="345" ht="15.75" hidden="1" customHeight="1">
      <c r="D345" s="15"/>
    </row>
    <row r="346" ht="15.75" hidden="1" customHeight="1">
      <c r="D346" s="15"/>
    </row>
    <row r="347" ht="15.75" hidden="1" customHeight="1">
      <c r="D347" s="15"/>
    </row>
    <row r="348" ht="15.75" hidden="1" customHeight="1">
      <c r="D348" s="15"/>
    </row>
    <row r="349" ht="15.75" hidden="1" customHeight="1">
      <c r="D349" s="15"/>
    </row>
    <row r="350" ht="15.75" hidden="1" customHeight="1">
      <c r="D350" s="15"/>
    </row>
    <row r="351" ht="15.75" hidden="1" customHeight="1">
      <c r="D351" s="15"/>
    </row>
    <row r="352" ht="15.75" hidden="1" customHeight="1">
      <c r="D352" s="15"/>
    </row>
    <row r="353" ht="15.75" hidden="1" customHeight="1">
      <c r="D353" s="15"/>
    </row>
    <row r="354" ht="15.75" hidden="1" customHeight="1">
      <c r="D354" s="15"/>
    </row>
    <row r="355" ht="15.75" hidden="1" customHeight="1">
      <c r="D355" s="15"/>
    </row>
    <row r="356" ht="15.75" hidden="1" customHeight="1">
      <c r="D356" s="15"/>
    </row>
    <row r="357" ht="15.75" hidden="1" customHeight="1">
      <c r="D357" s="15"/>
    </row>
    <row r="358" ht="15.75" hidden="1" customHeight="1">
      <c r="D358" s="15"/>
    </row>
    <row r="359" ht="15.75" hidden="1" customHeight="1">
      <c r="D359" s="15"/>
    </row>
    <row r="360" ht="15.75" hidden="1" customHeight="1">
      <c r="D360" s="15"/>
    </row>
    <row r="361" ht="15.75" hidden="1" customHeight="1">
      <c r="D361" s="15"/>
    </row>
    <row r="362" ht="15.75" hidden="1" customHeight="1">
      <c r="D362" s="15"/>
    </row>
    <row r="363" ht="15.75" hidden="1" customHeight="1">
      <c r="D363" s="15"/>
    </row>
    <row r="364" ht="15.75" hidden="1" customHeight="1">
      <c r="D364" s="15"/>
    </row>
    <row r="365" ht="15.75" hidden="1" customHeight="1">
      <c r="D365" s="15"/>
    </row>
    <row r="366" ht="15.75" hidden="1" customHeight="1">
      <c r="D366" s="15"/>
    </row>
    <row r="367" ht="15.75" hidden="1" customHeight="1">
      <c r="D367" s="15"/>
    </row>
    <row r="368" ht="15.75" hidden="1" customHeight="1">
      <c r="D368" s="15"/>
    </row>
    <row r="369" ht="15.75" hidden="1" customHeight="1">
      <c r="D369" s="15"/>
    </row>
    <row r="370" ht="15.75" hidden="1" customHeight="1">
      <c r="D370" s="15"/>
    </row>
    <row r="371" ht="15.75" hidden="1" customHeight="1">
      <c r="D371" s="15"/>
    </row>
    <row r="372" ht="15.75" hidden="1" customHeight="1">
      <c r="D372" s="15"/>
    </row>
    <row r="373" ht="15.75" hidden="1" customHeight="1">
      <c r="D373" s="15"/>
    </row>
    <row r="374" ht="15.75" hidden="1" customHeight="1">
      <c r="D374" s="15"/>
    </row>
    <row r="375" ht="15.75" hidden="1" customHeight="1">
      <c r="D375" s="15"/>
    </row>
    <row r="376" ht="15.75" hidden="1" customHeight="1">
      <c r="D376" s="15"/>
    </row>
    <row r="377" ht="15.75" hidden="1" customHeight="1">
      <c r="D377" s="15"/>
    </row>
    <row r="378" ht="15.75" hidden="1" customHeight="1">
      <c r="D378" s="15"/>
    </row>
    <row r="379" ht="15.75" hidden="1" customHeight="1">
      <c r="D379" s="15"/>
    </row>
    <row r="380" ht="15.75" hidden="1" customHeight="1">
      <c r="D380" s="15"/>
    </row>
    <row r="381" ht="15.75" hidden="1" customHeight="1">
      <c r="D381" s="15"/>
    </row>
    <row r="382" ht="15.75" hidden="1" customHeight="1">
      <c r="D382" s="15"/>
    </row>
    <row r="383" ht="15.75" hidden="1" customHeight="1">
      <c r="D383" s="15"/>
    </row>
    <row r="384" ht="15.75" hidden="1" customHeight="1">
      <c r="D384" s="15"/>
    </row>
    <row r="385" ht="15.75" hidden="1" customHeight="1">
      <c r="D385" s="15"/>
    </row>
    <row r="386" ht="15.75" hidden="1" customHeight="1">
      <c r="D386" s="15"/>
    </row>
    <row r="387" ht="15.75" hidden="1" customHeight="1">
      <c r="D387" s="15"/>
    </row>
    <row r="388" ht="15.75" hidden="1" customHeight="1">
      <c r="D388" s="15"/>
    </row>
    <row r="389" ht="15.75" hidden="1" customHeight="1">
      <c r="D389" s="15"/>
    </row>
    <row r="390" ht="15.75" hidden="1" customHeight="1">
      <c r="D390" s="15"/>
    </row>
    <row r="391" ht="15.75" hidden="1" customHeight="1">
      <c r="D391" s="15"/>
    </row>
    <row r="392" ht="15.75" hidden="1" customHeight="1">
      <c r="D392" s="15"/>
    </row>
    <row r="393" ht="15.75" hidden="1" customHeight="1">
      <c r="D393" s="15"/>
    </row>
    <row r="394" ht="15.75" hidden="1" customHeight="1">
      <c r="D394" s="15"/>
    </row>
    <row r="395" ht="15.75" hidden="1" customHeight="1">
      <c r="D395" s="15"/>
    </row>
    <row r="396" ht="15.75" hidden="1" customHeight="1">
      <c r="D396" s="15"/>
    </row>
    <row r="397" ht="15.75" hidden="1" customHeight="1">
      <c r="D397" s="15"/>
    </row>
    <row r="398" ht="15.75" hidden="1" customHeight="1">
      <c r="D398" s="15"/>
    </row>
    <row r="399" ht="15.75" hidden="1" customHeight="1">
      <c r="D399" s="15"/>
    </row>
    <row r="400" ht="15.75" hidden="1" customHeight="1">
      <c r="D400" s="15"/>
    </row>
    <row r="401" ht="15.75" hidden="1" customHeight="1">
      <c r="D401" s="15"/>
    </row>
    <row r="402" ht="15.75" hidden="1" customHeight="1">
      <c r="D402" s="15"/>
    </row>
    <row r="403" ht="15.75" hidden="1" customHeight="1">
      <c r="D403" s="15"/>
    </row>
    <row r="404" ht="15.75" hidden="1" customHeight="1">
      <c r="D404" s="15"/>
    </row>
    <row r="405" ht="15.75" hidden="1" customHeight="1">
      <c r="D405" s="15"/>
    </row>
    <row r="406" ht="15.75" hidden="1" customHeight="1">
      <c r="D406" s="15"/>
    </row>
    <row r="407" ht="15.75" hidden="1" customHeight="1">
      <c r="D407" s="15"/>
    </row>
    <row r="408" ht="15.75" hidden="1" customHeight="1">
      <c r="D408" s="15"/>
    </row>
    <row r="409" ht="15.75" hidden="1" customHeight="1">
      <c r="D409" s="15"/>
    </row>
    <row r="410" ht="15.75" hidden="1" customHeight="1">
      <c r="D410" s="15"/>
    </row>
    <row r="411" ht="15.75" hidden="1" customHeight="1">
      <c r="D411" s="15"/>
    </row>
    <row r="412" ht="15.75" hidden="1" customHeight="1">
      <c r="D412" s="15"/>
    </row>
    <row r="413" ht="15.75" hidden="1" customHeight="1">
      <c r="D413" s="15"/>
    </row>
    <row r="414" ht="15.75" hidden="1" customHeight="1">
      <c r="D414" s="15"/>
    </row>
    <row r="415" ht="15.75" hidden="1" customHeight="1">
      <c r="D415" s="15"/>
    </row>
    <row r="416" ht="15.75" hidden="1" customHeight="1">
      <c r="D416" s="15"/>
    </row>
    <row r="417" ht="15.75" hidden="1" customHeight="1">
      <c r="D417" s="15"/>
    </row>
    <row r="418" ht="15.75" hidden="1" customHeight="1">
      <c r="D418" s="15"/>
    </row>
    <row r="419" ht="15.75" hidden="1" customHeight="1">
      <c r="D419" s="15"/>
    </row>
    <row r="420" ht="15.75" hidden="1" customHeight="1">
      <c r="D420" s="15"/>
    </row>
    <row r="421" ht="15.75" hidden="1" customHeight="1">
      <c r="D421" s="15"/>
    </row>
    <row r="422" ht="15.75" hidden="1" customHeight="1">
      <c r="D422" s="15"/>
    </row>
    <row r="423" ht="15.75" hidden="1" customHeight="1">
      <c r="D423" s="15"/>
    </row>
    <row r="424" ht="15.75" hidden="1" customHeight="1">
      <c r="D424" s="15"/>
    </row>
    <row r="425" ht="15.75" hidden="1" customHeight="1">
      <c r="D425" s="15"/>
    </row>
    <row r="426" ht="15.75" hidden="1" customHeight="1">
      <c r="D426" s="15"/>
    </row>
    <row r="427" ht="15.75" hidden="1" customHeight="1">
      <c r="D427" s="15"/>
    </row>
    <row r="428" ht="15.75" hidden="1" customHeight="1">
      <c r="D428" s="15"/>
    </row>
    <row r="429" ht="15.75" hidden="1" customHeight="1">
      <c r="D429" s="15"/>
    </row>
    <row r="430" ht="15.75" hidden="1" customHeight="1">
      <c r="D430" s="15"/>
    </row>
    <row r="431" ht="15.75" hidden="1" customHeight="1">
      <c r="D431" s="15"/>
    </row>
    <row r="432" ht="15.75" hidden="1" customHeight="1">
      <c r="D432" s="15"/>
    </row>
    <row r="433" ht="15.75" hidden="1" customHeight="1">
      <c r="D433" s="15"/>
    </row>
    <row r="434" ht="15.75" hidden="1" customHeight="1">
      <c r="D434" s="15"/>
    </row>
    <row r="435" ht="15.75" hidden="1" customHeight="1">
      <c r="D435" s="15"/>
    </row>
    <row r="436" ht="15.75" hidden="1" customHeight="1">
      <c r="D436" s="15"/>
    </row>
    <row r="437" ht="15.75" hidden="1" customHeight="1">
      <c r="D437" s="15"/>
    </row>
    <row r="438" ht="15.75" hidden="1" customHeight="1">
      <c r="D438" s="15"/>
    </row>
    <row r="439" ht="15.75" hidden="1" customHeight="1">
      <c r="D439" s="15"/>
    </row>
    <row r="440" ht="15.75" hidden="1" customHeight="1">
      <c r="D440" s="15"/>
    </row>
    <row r="441" ht="15.75" hidden="1" customHeight="1">
      <c r="D441" s="15"/>
    </row>
    <row r="442" ht="15.75" hidden="1" customHeight="1">
      <c r="D442" s="15"/>
    </row>
    <row r="443" ht="15.75" hidden="1" customHeight="1">
      <c r="D443" s="15"/>
    </row>
    <row r="444" ht="15.75" hidden="1" customHeight="1">
      <c r="D444" s="15"/>
    </row>
    <row r="445" ht="15.75" hidden="1" customHeight="1">
      <c r="D445" s="15"/>
    </row>
    <row r="446" ht="15.75" hidden="1" customHeight="1">
      <c r="D446" s="15"/>
    </row>
    <row r="447" ht="15.75" hidden="1" customHeight="1">
      <c r="D447" s="15"/>
    </row>
    <row r="448" ht="15.75" hidden="1" customHeight="1">
      <c r="D448" s="15"/>
    </row>
    <row r="449" ht="15.75" hidden="1" customHeight="1">
      <c r="D449" s="15"/>
    </row>
    <row r="450" ht="15.75" hidden="1" customHeight="1">
      <c r="D450" s="15"/>
    </row>
    <row r="451" ht="15.75" hidden="1" customHeight="1">
      <c r="D451" s="15"/>
    </row>
    <row r="452" ht="15.75" hidden="1" customHeight="1">
      <c r="D452" s="15"/>
    </row>
    <row r="453" ht="15.75" hidden="1" customHeight="1">
      <c r="D453" s="15"/>
    </row>
    <row r="454" ht="15.75" hidden="1" customHeight="1">
      <c r="D454" s="15"/>
    </row>
    <row r="455" ht="15.75" hidden="1" customHeight="1">
      <c r="D455" s="15"/>
    </row>
    <row r="456" ht="15.75" hidden="1" customHeight="1">
      <c r="D456" s="15"/>
    </row>
    <row r="457" ht="15.75" hidden="1" customHeight="1">
      <c r="D457" s="15"/>
    </row>
    <row r="458" ht="15.75" hidden="1" customHeight="1">
      <c r="D458" s="15"/>
    </row>
    <row r="459" ht="15.75" hidden="1" customHeight="1">
      <c r="D459" s="15"/>
    </row>
    <row r="460" ht="15.75" hidden="1" customHeight="1">
      <c r="D460" s="15"/>
    </row>
    <row r="461" ht="15.75" hidden="1" customHeight="1">
      <c r="D461" s="15"/>
    </row>
    <row r="462" ht="15.75" hidden="1" customHeight="1">
      <c r="D462" s="15"/>
    </row>
    <row r="463" ht="15.75" hidden="1" customHeight="1">
      <c r="D463" s="15"/>
    </row>
    <row r="464" ht="15.75" hidden="1" customHeight="1">
      <c r="D464" s="15"/>
    </row>
    <row r="465" ht="15.75" hidden="1" customHeight="1">
      <c r="D465" s="15"/>
    </row>
    <row r="466" ht="15.75" hidden="1" customHeight="1">
      <c r="D466" s="15"/>
    </row>
    <row r="467" ht="15.75" hidden="1" customHeight="1">
      <c r="D467" s="15"/>
    </row>
    <row r="468" ht="15.75" hidden="1" customHeight="1">
      <c r="D468" s="15"/>
    </row>
    <row r="469" ht="15.75" hidden="1" customHeight="1">
      <c r="D469" s="15"/>
    </row>
    <row r="470" ht="15.75" hidden="1" customHeight="1">
      <c r="D470" s="15"/>
    </row>
    <row r="471" ht="15.75" hidden="1" customHeight="1">
      <c r="D471" s="15"/>
    </row>
    <row r="472" ht="15.75" hidden="1" customHeight="1">
      <c r="D472" s="15"/>
    </row>
    <row r="473" ht="15.75" hidden="1" customHeight="1">
      <c r="D473" s="15"/>
    </row>
    <row r="474" ht="15.75" hidden="1" customHeight="1">
      <c r="D474" s="15"/>
    </row>
    <row r="475" ht="15.75" hidden="1" customHeight="1">
      <c r="D475" s="15"/>
    </row>
    <row r="476" ht="15.75" hidden="1" customHeight="1">
      <c r="D476" s="15"/>
    </row>
    <row r="477" ht="15.75" hidden="1" customHeight="1">
      <c r="D477" s="15"/>
    </row>
    <row r="478" ht="15.75" hidden="1" customHeight="1">
      <c r="D478" s="15"/>
    </row>
    <row r="479" ht="15.75" hidden="1" customHeight="1">
      <c r="D479" s="15"/>
    </row>
    <row r="480" ht="15.75" hidden="1" customHeight="1">
      <c r="D480" s="15"/>
    </row>
    <row r="481" ht="15.75" hidden="1" customHeight="1">
      <c r="D481" s="15"/>
    </row>
    <row r="482" ht="15.75" hidden="1" customHeight="1">
      <c r="D482" s="15"/>
    </row>
    <row r="483" ht="15.75" hidden="1" customHeight="1">
      <c r="D483" s="15"/>
    </row>
    <row r="484" ht="15.75" hidden="1" customHeight="1">
      <c r="D484" s="15"/>
    </row>
    <row r="485" ht="15.75" hidden="1" customHeight="1">
      <c r="D485" s="15"/>
    </row>
    <row r="486" ht="15.75" hidden="1" customHeight="1">
      <c r="D486" s="15"/>
    </row>
    <row r="487" ht="15.75" hidden="1" customHeight="1">
      <c r="D487" s="15"/>
    </row>
    <row r="488" ht="15.75" hidden="1" customHeight="1">
      <c r="D488" s="15"/>
    </row>
    <row r="489" ht="15.75" hidden="1" customHeight="1">
      <c r="D489" s="15"/>
    </row>
    <row r="490" ht="15.75" hidden="1" customHeight="1">
      <c r="D490" s="15"/>
    </row>
    <row r="491" ht="15.75" hidden="1" customHeight="1">
      <c r="D491" s="15"/>
    </row>
    <row r="492" ht="15.75" hidden="1" customHeight="1">
      <c r="D492" s="15"/>
    </row>
    <row r="493" ht="15.75" hidden="1" customHeight="1">
      <c r="D493" s="15"/>
    </row>
    <row r="494" ht="15.75" hidden="1" customHeight="1">
      <c r="D494" s="15"/>
    </row>
    <row r="495" ht="15.75" hidden="1" customHeight="1">
      <c r="D495" s="15"/>
    </row>
    <row r="496" ht="15.75" hidden="1" customHeight="1">
      <c r="D496" s="15"/>
    </row>
    <row r="497" ht="15.75" hidden="1" customHeight="1">
      <c r="D497" s="15"/>
    </row>
    <row r="498" ht="15.75" hidden="1" customHeight="1">
      <c r="D498" s="15"/>
    </row>
    <row r="499" ht="15.75" hidden="1" customHeight="1">
      <c r="D499" s="15"/>
    </row>
    <row r="500" ht="15.75" hidden="1" customHeight="1">
      <c r="D500" s="15"/>
    </row>
    <row r="501" ht="15.75" hidden="1" customHeight="1">
      <c r="D501" s="15"/>
    </row>
    <row r="502" ht="15.75" hidden="1" customHeight="1">
      <c r="D502" s="15"/>
    </row>
    <row r="503" ht="15.75" hidden="1" customHeight="1">
      <c r="D503" s="15"/>
    </row>
    <row r="504" ht="15.75" hidden="1" customHeight="1">
      <c r="D504" s="15"/>
    </row>
    <row r="505" ht="15.75" hidden="1" customHeight="1">
      <c r="D505" s="15"/>
    </row>
    <row r="506" ht="15.75" hidden="1" customHeight="1">
      <c r="D506" s="15"/>
    </row>
    <row r="507" ht="15.75" hidden="1" customHeight="1">
      <c r="D507" s="15"/>
    </row>
    <row r="508" ht="15.75" hidden="1" customHeight="1">
      <c r="D508" s="15"/>
    </row>
    <row r="509" ht="15.75" hidden="1" customHeight="1">
      <c r="D509" s="15"/>
    </row>
    <row r="510" ht="15.75" hidden="1" customHeight="1">
      <c r="D510" s="15"/>
    </row>
    <row r="511" ht="15.75" hidden="1" customHeight="1">
      <c r="D511" s="15"/>
    </row>
    <row r="512" ht="15.75" hidden="1" customHeight="1">
      <c r="D512" s="15"/>
    </row>
    <row r="513" ht="15.75" hidden="1" customHeight="1">
      <c r="D513" s="15"/>
    </row>
    <row r="514" ht="15.75" hidden="1" customHeight="1">
      <c r="D514" s="15"/>
    </row>
    <row r="515" ht="15.75" hidden="1" customHeight="1">
      <c r="D515" s="15"/>
    </row>
    <row r="516" ht="15.75" hidden="1" customHeight="1">
      <c r="D516" s="15"/>
    </row>
    <row r="517" ht="15.75" hidden="1" customHeight="1">
      <c r="D517" s="15"/>
    </row>
    <row r="518" ht="15.75" hidden="1" customHeight="1">
      <c r="D518" s="15"/>
    </row>
    <row r="519" ht="15.75" hidden="1" customHeight="1">
      <c r="D519" s="15"/>
    </row>
    <row r="520" ht="15.75" hidden="1" customHeight="1">
      <c r="D520" s="15"/>
    </row>
    <row r="521" ht="15.75" hidden="1" customHeight="1">
      <c r="D521" s="15"/>
    </row>
    <row r="522" ht="15.75" hidden="1" customHeight="1">
      <c r="D522" s="15"/>
    </row>
    <row r="523" ht="15.75" hidden="1" customHeight="1">
      <c r="D523" s="15"/>
    </row>
    <row r="524" ht="15.75" hidden="1" customHeight="1">
      <c r="D524" s="15"/>
    </row>
    <row r="525" ht="15.75" hidden="1" customHeight="1">
      <c r="D525" s="15"/>
    </row>
    <row r="526" ht="15.75" hidden="1" customHeight="1">
      <c r="D526" s="15"/>
    </row>
    <row r="527" ht="15.75" hidden="1" customHeight="1">
      <c r="D527" s="15"/>
    </row>
    <row r="528" ht="15.75" hidden="1" customHeight="1">
      <c r="D528" s="15"/>
    </row>
    <row r="529" ht="15.75" hidden="1" customHeight="1">
      <c r="D529" s="15"/>
    </row>
    <row r="530" ht="15.75" hidden="1" customHeight="1">
      <c r="D530" s="15"/>
    </row>
    <row r="531" ht="15.75" hidden="1" customHeight="1">
      <c r="D531" s="15"/>
    </row>
    <row r="532" ht="15.75" hidden="1" customHeight="1">
      <c r="D532" s="15"/>
    </row>
    <row r="533" ht="15.75" hidden="1" customHeight="1">
      <c r="D533" s="15"/>
    </row>
    <row r="534" ht="15.75" hidden="1" customHeight="1">
      <c r="D534" s="15"/>
    </row>
    <row r="535" ht="15.75" hidden="1" customHeight="1">
      <c r="D535" s="15"/>
    </row>
    <row r="536" ht="15.75" hidden="1" customHeight="1">
      <c r="D536" s="15"/>
    </row>
    <row r="537" ht="15.75" hidden="1" customHeight="1">
      <c r="D537" s="15"/>
    </row>
    <row r="538" ht="15.75" hidden="1" customHeight="1">
      <c r="D538" s="15"/>
    </row>
    <row r="539" ht="15.75" hidden="1" customHeight="1">
      <c r="D539" s="15"/>
    </row>
    <row r="540" ht="15.75" hidden="1" customHeight="1">
      <c r="D540" s="15"/>
    </row>
    <row r="541" ht="15.75" hidden="1" customHeight="1">
      <c r="D541" s="15"/>
    </row>
    <row r="542" ht="15.75" hidden="1" customHeight="1">
      <c r="D542" s="15"/>
    </row>
    <row r="543" ht="15.75" hidden="1" customHeight="1">
      <c r="D543" s="15"/>
    </row>
    <row r="544" ht="15.75" hidden="1" customHeight="1">
      <c r="D544" s="15"/>
    </row>
    <row r="545" ht="15.75" hidden="1" customHeight="1">
      <c r="D545" s="15"/>
    </row>
    <row r="546" ht="15.75" hidden="1" customHeight="1">
      <c r="D546" s="15"/>
    </row>
    <row r="547" ht="15.75" hidden="1" customHeight="1">
      <c r="D547" s="15"/>
    </row>
    <row r="548" ht="15.75" hidden="1" customHeight="1">
      <c r="D548" s="15"/>
    </row>
    <row r="549" ht="15.75" hidden="1" customHeight="1">
      <c r="D549" s="15"/>
    </row>
    <row r="550" ht="15.75" hidden="1" customHeight="1">
      <c r="D550" s="15"/>
    </row>
    <row r="551" ht="15.75" hidden="1" customHeight="1">
      <c r="D551" s="15"/>
    </row>
    <row r="552" ht="15.75" hidden="1" customHeight="1">
      <c r="D552" s="15"/>
    </row>
    <row r="553" ht="15.75" hidden="1" customHeight="1">
      <c r="D553" s="15"/>
    </row>
    <row r="554" ht="15.75" hidden="1" customHeight="1">
      <c r="D554" s="15"/>
    </row>
    <row r="555" ht="15.75" hidden="1" customHeight="1">
      <c r="D555" s="15"/>
    </row>
    <row r="556" ht="15.75" hidden="1" customHeight="1">
      <c r="D556" s="15"/>
    </row>
    <row r="557" ht="15.75" hidden="1" customHeight="1">
      <c r="D557" s="15"/>
    </row>
    <row r="558" ht="15.75" hidden="1" customHeight="1">
      <c r="D558" s="15"/>
    </row>
    <row r="559" ht="15.75" hidden="1" customHeight="1">
      <c r="D559" s="15"/>
    </row>
    <row r="560" ht="15.75" hidden="1" customHeight="1">
      <c r="D560" s="15"/>
    </row>
    <row r="561" ht="15.75" hidden="1" customHeight="1">
      <c r="D561" s="15"/>
    </row>
    <row r="562" ht="15.75" hidden="1" customHeight="1">
      <c r="D562" s="15"/>
    </row>
    <row r="563" ht="15.75" hidden="1" customHeight="1">
      <c r="D563" s="15"/>
    </row>
    <row r="564" ht="15.75" hidden="1" customHeight="1">
      <c r="D564" s="15"/>
    </row>
    <row r="565" ht="15.75" hidden="1" customHeight="1">
      <c r="D565" s="15"/>
    </row>
    <row r="566" ht="15.75" hidden="1" customHeight="1">
      <c r="D566" s="15"/>
    </row>
    <row r="567" ht="15.75" hidden="1" customHeight="1">
      <c r="D567" s="15"/>
    </row>
    <row r="568" ht="15.75" hidden="1" customHeight="1">
      <c r="D568" s="15"/>
    </row>
    <row r="569" ht="15.75" hidden="1" customHeight="1">
      <c r="D569" s="15"/>
    </row>
    <row r="570" ht="15.75" hidden="1" customHeight="1">
      <c r="D570" s="15"/>
    </row>
    <row r="571" ht="15.75" hidden="1" customHeight="1">
      <c r="D571" s="15"/>
    </row>
    <row r="572" ht="15.75" hidden="1" customHeight="1">
      <c r="D572" s="15"/>
    </row>
    <row r="573" ht="15.75" hidden="1" customHeight="1">
      <c r="D573" s="15"/>
    </row>
    <row r="574" ht="15.75" hidden="1" customHeight="1">
      <c r="D574" s="15"/>
    </row>
    <row r="575" ht="15.75" hidden="1" customHeight="1">
      <c r="D575" s="15"/>
    </row>
    <row r="576" ht="15.75" hidden="1" customHeight="1">
      <c r="D576" s="15"/>
    </row>
    <row r="577" ht="15.75" hidden="1" customHeight="1">
      <c r="D577" s="15"/>
    </row>
    <row r="578" ht="15.75" hidden="1" customHeight="1">
      <c r="D578" s="15"/>
    </row>
    <row r="579" ht="15.75" hidden="1" customHeight="1">
      <c r="D579" s="15"/>
    </row>
    <row r="580" ht="15.75" hidden="1" customHeight="1">
      <c r="D580" s="15"/>
    </row>
    <row r="581" ht="15.75" hidden="1" customHeight="1">
      <c r="D581" s="15"/>
    </row>
    <row r="582" ht="15.75" hidden="1" customHeight="1">
      <c r="D582" s="15"/>
    </row>
    <row r="583" ht="15.75" hidden="1" customHeight="1">
      <c r="D583" s="15"/>
    </row>
    <row r="584" ht="15.75" hidden="1" customHeight="1">
      <c r="D584" s="15"/>
    </row>
    <row r="585" ht="15.75" hidden="1" customHeight="1">
      <c r="D585" s="15"/>
    </row>
    <row r="586" ht="15.75" hidden="1" customHeight="1">
      <c r="D586" s="15"/>
    </row>
    <row r="587" ht="15.75" hidden="1" customHeight="1">
      <c r="D587" s="15"/>
    </row>
    <row r="588" ht="15.75" hidden="1" customHeight="1">
      <c r="D588" s="15"/>
    </row>
    <row r="589" ht="15.75" hidden="1" customHeight="1">
      <c r="D589" s="15"/>
    </row>
    <row r="590" ht="15.75" hidden="1" customHeight="1">
      <c r="D590" s="15"/>
    </row>
    <row r="591" ht="15.75" hidden="1" customHeight="1">
      <c r="D591" s="15"/>
    </row>
    <row r="592" ht="15.75" hidden="1" customHeight="1">
      <c r="D592" s="15"/>
    </row>
    <row r="593" ht="15.75" hidden="1" customHeight="1">
      <c r="D593" s="15"/>
    </row>
    <row r="594" ht="15.75" hidden="1" customHeight="1">
      <c r="D594" s="15"/>
    </row>
    <row r="595" ht="15.75" hidden="1" customHeight="1">
      <c r="D595" s="15"/>
    </row>
    <row r="596" ht="15.75" hidden="1" customHeight="1">
      <c r="D596" s="15"/>
    </row>
    <row r="597" ht="15.75" hidden="1" customHeight="1">
      <c r="D597" s="15"/>
    </row>
    <row r="598" ht="15.75" hidden="1" customHeight="1">
      <c r="D598" s="15"/>
    </row>
    <row r="599" ht="15.75" hidden="1" customHeight="1">
      <c r="D599" s="15"/>
    </row>
    <row r="600" ht="15.75" hidden="1" customHeight="1">
      <c r="D600" s="15"/>
    </row>
    <row r="601" ht="15.75" hidden="1" customHeight="1">
      <c r="D601" s="15"/>
    </row>
    <row r="602" ht="15.75" hidden="1" customHeight="1">
      <c r="D602" s="15"/>
    </row>
    <row r="603" ht="15.75" hidden="1" customHeight="1">
      <c r="D603" s="15"/>
    </row>
    <row r="604" ht="15.75" hidden="1" customHeight="1">
      <c r="D604" s="15"/>
    </row>
    <row r="605" ht="15.75" hidden="1" customHeight="1">
      <c r="D605" s="15"/>
    </row>
    <row r="606" ht="15.75" hidden="1" customHeight="1">
      <c r="D606" s="15"/>
    </row>
    <row r="607" ht="15.75" hidden="1" customHeight="1">
      <c r="D607" s="15"/>
    </row>
    <row r="608" ht="15.75" hidden="1" customHeight="1">
      <c r="D608" s="15"/>
    </row>
    <row r="609" ht="15.75" hidden="1" customHeight="1">
      <c r="D609" s="15"/>
    </row>
    <row r="610" ht="15.75" hidden="1" customHeight="1">
      <c r="D610" s="15"/>
    </row>
    <row r="611" ht="15.75" hidden="1" customHeight="1">
      <c r="D611" s="15"/>
    </row>
    <row r="612" ht="15.75" hidden="1" customHeight="1">
      <c r="D612" s="15"/>
    </row>
    <row r="613" ht="15.75" hidden="1" customHeight="1">
      <c r="D613" s="15"/>
    </row>
    <row r="614" ht="15.75" hidden="1" customHeight="1">
      <c r="D614" s="15"/>
    </row>
    <row r="615" ht="15.75" hidden="1" customHeight="1">
      <c r="D615" s="15"/>
    </row>
    <row r="616" ht="15.75" hidden="1" customHeight="1">
      <c r="D616" s="15"/>
    </row>
    <row r="617" ht="15.75" hidden="1" customHeight="1">
      <c r="D617" s="15"/>
    </row>
    <row r="618" ht="15.75" hidden="1" customHeight="1">
      <c r="D618" s="15"/>
    </row>
    <row r="619" ht="15.75" hidden="1" customHeight="1">
      <c r="D619" s="15"/>
    </row>
    <row r="620" ht="15.75" hidden="1" customHeight="1">
      <c r="D620" s="15"/>
    </row>
    <row r="621" ht="15.75" hidden="1" customHeight="1">
      <c r="D621" s="15"/>
    </row>
    <row r="622" ht="15.75" hidden="1" customHeight="1">
      <c r="D622" s="15"/>
    </row>
    <row r="623" ht="15.75" hidden="1" customHeight="1">
      <c r="D623" s="15"/>
    </row>
    <row r="624" ht="15.75" hidden="1" customHeight="1">
      <c r="D624" s="15"/>
    </row>
    <row r="625" ht="15.75" hidden="1" customHeight="1">
      <c r="D625" s="15"/>
    </row>
    <row r="626" ht="15.75" hidden="1" customHeight="1">
      <c r="D626" s="15"/>
    </row>
    <row r="627" ht="15.75" hidden="1" customHeight="1">
      <c r="D627" s="15"/>
    </row>
    <row r="628" ht="15.75" hidden="1" customHeight="1">
      <c r="D628" s="15"/>
    </row>
    <row r="629" ht="15.75" hidden="1" customHeight="1">
      <c r="D629" s="15"/>
    </row>
    <row r="630" ht="15.75" hidden="1" customHeight="1">
      <c r="D630" s="15"/>
    </row>
    <row r="631" ht="15.75" hidden="1" customHeight="1">
      <c r="D631" s="15"/>
    </row>
    <row r="632" ht="15.75" hidden="1" customHeight="1">
      <c r="D632" s="15"/>
    </row>
    <row r="633" ht="15.75" hidden="1" customHeight="1">
      <c r="D633" s="15"/>
    </row>
    <row r="634" ht="15.75" hidden="1" customHeight="1">
      <c r="D634" s="15"/>
    </row>
    <row r="635" ht="15.75" hidden="1" customHeight="1">
      <c r="D635" s="15"/>
    </row>
    <row r="636" ht="15.75" hidden="1" customHeight="1">
      <c r="D636" s="15"/>
    </row>
    <row r="637" ht="15.75" hidden="1" customHeight="1">
      <c r="D637" s="15"/>
    </row>
    <row r="638" ht="15.75" hidden="1" customHeight="1">
      <c r="D638" s="15"/>
    </row>
    <row r="639" ht="15.75" hidden="1" customHeight="1">
      <c r="D639" s="15"/>
    </row>
    <row r="640" ht="15.75" hidden="1" customHeight="1">
      <c r="D640" s="15"/>
    </row>
    <row r="641" ht="15.75" hidden="1" customHeight="1">
      <c r="D641" s="15"/>
    </row>
    <row r="642" ht="15.75" hidden="1" customHeight="1">
      <c r="D642" s="15"/>
    </row>
    <row r="643" ht="15.75" hidden="1" customHeight="1">
      <c r="D643" s="15"/>
    </row>
    <row r="644" ht="15.75" hidden="1" customHeight="1">
      <c r="D644" s="15"/>
    </row>
    <row r="645" ht="15.75" hidden="1" customHeight="1">
      <c r="D645" s="15"/>
    </row>
    <row r="646" ht="15.75" hidden="1" customHeight="1">
      <c r="D646" s="15"/>
    </row>
    <row r="647" ht="15.75" hidden="1" customHeight="1">
      <c r="D647" s="15"/>
    </row>
    <row r="648" ht="15.75" hidden="1" customHeight="1">
      <c r="D648" s="15"/>
    </row>
    <row r="649" ht="15.75" hidden="1" customHeight="1">
      <c r="D649" s="15"/>
    </row>
    <row r="650" ht="15.75" hidden="1" customHeight="1">
      <c r="D650" s="15"/>
    </row>
    <row r="651" ht="15.75" hidden="1" customHeight="1">
      <c r="D651" s="15"/>
    </row>
    <row r="652" ht="15.75" hidden="1" customHeight="1">
      <c r="D652" s="15"/>
    </row>
    <row r="653" ht="15.75" hidden="1" customHeight="1">
      <c r="D653" s="15"/>
    </row>
    <row r="654" ht="15.75" hidden="1" customHeight="1">
      <c r="D654" s="15"/>
    </row>
    <row r="655" ht="15.75" hidden="1" customHeight="1">
      <c r="D655" s="15"/>
    </row>
    <row r="656" ht="15.75" hidden="1" customHeight="1">
      <c r="D656" s="15"/>
    </row>
    <row r="657" ht="15.75" hidden="1" customHeight="1">
      <c r="D657" s="15"/>
    </row>
    <row r="658" ht="15.75" hidden="1" customHeight="1">
      <c r="D658" s="15"/>
    </row>
    <row r="659" ht="15.75" hidden="1" customHeight="1">
      <c r="D659" s="15"/>
    </row>
    <row r="660" ht="15.75" hidden="1" customHeight="1">
      <c r="D660" s="15"/>
    </row>
    <row r="661" ht="15.75" hidden="1" customHeight="1">
      <c r="D661" s="15"/>
    </row>
    <row r="662" ht="15.75" hidden="1" customHeight="1">
      <c r="D662" s="15"/>
    </row>
    <row r="663" ht="15.75" hidden="1" customHeight="1">
      <c r="D663" s="15"/>
    </row>
    <row r="664" ht="15.75" hidden="1" customHeight="1">
      <c r="D664" s="15"/>
    </row>
    <row r="665" ht="15.75" hidden="1" customHeight="1">
      <c r="D665" s="15"/>
    </row>
    <row r="666" ht="15.75" hidden="1" customHeight="1">
      <c r="D666" s="15"/>
    </row>
    <row r="667" ht="15.75" hidden="1" customHeight="1">
      <c r="D667" s="15"/>
    </row>
    <row r="668" ht="15.75" hidden="1" customHeight="1">
      <c r="D668" s="15"/>
    </row>
    <row r="669" ht="15.75" hidden="1" customHeight="1">
      <c r="D669" s="15"/>
    </row>
    <row r="670" ht="15.75" hidden="1" customHeight="1">
      <c r="D670" s="15"/>
    </row>
    <row r="671" ht="15.75" hidden="1" customHeight="1">
      <c r="D671" s="15"/>
    </row>
    <row r="672" ht="15.75" hidden="1" customHeight="1">
      <c r="D672" s="15"/>
    </row>
    <row r="673" ht="15.75" hidden="1" customHeight="1">
      <c r="D673" s="15"/>
    </row>
    <row r="674" ht="15.75" hidden="1" customHeight="1">
      <c r="D674" s="15"/>
    </row>
    <row r="675" ht="15.75" hidden="1" customHeight="1">
      <c r="D675" s="15"/>
    </row>
    <row r="676" ht="15.75" hidden="1" customHeight="1">
      <c r="D676" s="15"/>
    </row>
    <row r="677" ht="15.75" hidden="1" customHeight="1">
      <c r="D677" s="15"/>
    </row>
    <row r="678" ht="15.75" hidden="1" customHeight="1">
      <c r="D678" s="15"/>
    </row>
    <row r="679" ht="15.75" hidden="1" customHeight="1">
      <c r="D679" s="15"/>
    </row>
    <row r="680" ht="15.75" hidden="1" customHeight="1">
      <c r="D680" s="15"/>
    </row>
    <row r="681" ht="15.75" hidden="1" customHeight="1">
      <c r="D681" s="15"/>
    </row>
    <row r="682" ht="15.75" hidden="1" customHeight="1">
      <c r="D682" s="15"/>
    </row>
    <row r="683" ht="15.75" hidden="1" customHeight="1">
      <c r="D683" s="15"/>
    </row>
    <row r="684" ht="15.75" hidden="1" customHeight="1">
      <c r="D684" s="15"/>
    </row>
    <row r="685" ht="15.75" hidden="1" customHeight="1">
      <c r="D685" s="15"/>
    </row>
    <row r="686" ht="15.75" hidden="1" customHeight="1">
      <c r="D686" s="15"/>
    </row>
    <row r="687" ht="15.75" hidden="1" customHeight="1">
      <c r="D687" s="15"/>
    </row>
    <row r="688" ht="15.75" hidden="1" customHeight="1">
      <c r="D688" s="15"/>
    </row>
    <row r="689" ht="15.75" hidden="1" customHeight="1">
      <c r="D689" s="15"/>
    </row>
    <row r="690" ht="15.75" hidden="1" customHeight="1">
      <c r="D690" s="15"/>
    </row>
    <row r="691" ht="15.75" hidden="1" customHeight="1">
      <c r="D691" s="15"/>
    </row>
    <row r="692" ht="15.75" hidden="1" customHeight="1">
      <c r="D692" s="15"/>
    </row>
    <row r="693" ht="15.75" hidden="1" customHeight="1">
      <c r="D693" s="15"/>
    </row>
    <row r="694" ht="15.75" hidden="1" customHeight="1">
      <c r="D694" s="15"/>
    </row>
    <row r="695" ht="15.75" hidden="1" customHeight="1">
      <c r="D695" s="15"/>
    </row>
    <row r="696" ht="15.75" hidden="1" customHeight="1">
      <c r="D696" s="15"/>
    </row>
    <row r="697" ht="15.75" hidden="1" customHeight="1">
      <c r="D697" s="15"/>
    </row>
    <row r="698" ht="15.75" hidden="1" customHeight="1">
      <c r="D698" s="15"/>
    </row>
    <row r="699" ht="15.75" hidden="1" customHeight="1">
      <c r="D699" s="15"/>
    </row>
    <row r="700" ht="15.75" hidden="1" customHeight="1">
      <c r="D700" s="15"/>
    </row>
    <row r="701" ht="15.75" hidden="1" customHeight="1">
      <c r="D701" s="15"/>
    </row>
    <row r="702" ht="15.75" hidden="1" customHeight="1">
      <c r="D702" s="15"/>
    </row>
    <row r="703" ht="15.75" hidden="1" customHeight="1">
      <c r="D703" s="15"/>
    </row>
    <row r="704" ht="15.75" hidden="1" customHeight="1">
      <c r="D704" s="15"/>
    </row>
    <row r="705" ht="15.75" hidden="1" customHeight="1">
      <c r="D705" s="15"/>
    </row>
    <row r="706" ht="15.75" hidden="1" customHeight="1">
      <c r="D706" s="15"/>
    </row>
    <row r="707" ht="15.75" hidden="1" customHeight="1">
      <c r="D707" s="15"/>
    </row>
    <row r="708" ht="15.75" hidden="1" customHeight="1">
      <c r="D708" s="15"/>
    </row>
    <row r="709" ht="15.75" hidden="1" customHeight="1">
      <c r="D709" s="15"/>
    </row>
    <row r="710" ht="15.75" hidden="1" customHeight="1">
      <c r="D710" s="15"/>
    </row>
    <row r="711" ht="15.75" hidden="1" customHeight="1">
      <c r="D711" s="15"/>
    </row>
    <row r="712" ht="15.75" hidden="1" customHeight="1">
      <c r="D712" s="15"/>
    </row>
    <row r="713" ht="15.75" hidden="1" customHeight="1">
      <c r="D713" s="15"/>
    </row>
    <row r="714" ht="15.75" hidden="1" customHeight="1">
      <c r="D714" s="15"/>
    </row>
    <row r="715" ht="15.75" hidden="1" customHeight="1">
      <c r="D715" s="15"/>
    </row>
    <row r="716" ht="15.75" hidden="1" customHeight="1">
      <c r="D716" s="15"/>
    </row>
    <row r="717" ht="15.75" hidden="1" customHeight="1">
      <c r="D717" s="15"/>
    </row>
    <row r="718" ht="15.75" hidden="1" customHeight="1">
      <c r="D718" s="15"/>
    </row>
    <row r="719" ht="15.75" hidden="1" customHeight="1">
      <c r="D719" s="15"/>
    </row>
    <row r="720" ht="15.75" hidden="1" customHeight="1">
      <c r="D720" s="15"/>
    </row>
    <row r="721" ht="15.75" hidden="1" customHeight="1">
      <c r="D721" s="15"/>
    </row>
    <row r="722" ht="15.75" hidden="1" customHeight="1">
      <c r="D722" s="15"/>
    </row>
    <row r="723" ht="15.75" hidden="1" customHeight="1">
      <c r="D723" s="15"/>
    </row>
    <row r="724" ht="15.75" hidden="1" customHeight="1">
      <c r="D724" s="15"/>
    </row>
    <row r="725" ht="15.75" hidden="1" customHeight="1">
      <c r="D725" s="15"/>
    </row>
    <row r="726" ht="15.75" hidden="1" customHeight="1">
      <c r="D726" s="15"/>
    </row>
    <row r="727" ht="15.75" hidden="1" customHeight="1">
      <c r="D727" s="15"/>
    </row>
    <row r="728" ht="15.75" hidden="1" customHeight="1">
      <c r="D728" s="15"/>
    </row>
    <row r="729" ht="15.75" hidden="1" customHeight="1">
      <c r="D729" s="15"/>
    </row>
    <row r="730" ht="15.75" hidden="1" customHeight="1">
      <c r="D730" s="15"/>
    </row>
    <row r="731" ht="15.75" hidden="1" customHeight="1">
      <c r="D731" s="15"/>
    </row>
    <row r="732" ht="15.75" hidden="1" customHeight="1">
      <c r="D732" s="15"/>
    </row>
    <row r="733" ht="15.75" hidden="1" customHeight="1">
      <c r="D733" s="15"/>
    </row>
    <row r="734" ht="15.75" hidden="1" customHeight="1">
      <c r="D734" s="15"/>
    </row>
    <row r="735" ht="15.75" hidden="1" customHeight="1">
      <c r="D735" s="15"/>
    </row>
    <row r="736" ht="15.75" hidden="1" customHeight="1">
      <c r="D736" s="15"/>
    </row>
    <row r="737" ht="15.75" hidden="1" customHeight="1">
      <c r="D737" s="15"/>
    </row>
    <row r="738" ht="15.75" hidden="1" customHeight="1">
      <c r="D738" s="15"/>
    </row>
    <row r="739" ht="15.75" hidden="1" customHeight="1">
      <c r="D739" s="15"/>
    </row>
    <row r="740" ht="15.75" hidden="1" customHeight="1">
      <c r="D740" s="15"/>
    </row>
    <row r="741" ht="15.75" hidden="1" customHeight="1">
      <c r="D741" s="15"/>
    </row>
    <row r="742" ht="15.75" hidden="1" customHeight="1">
      <c r="D742" s="15"/>
    </row>
    <row r="743" ht="15.75" hidden="1" customHeight="1">
      <c r="D743" s="15"/>
    </row>
    <row r="744" ht="15.75" hidden="1" customHeight="1">
      <c r="D744" s="15"/>
    </row>
    <row r="745" ht="15.75" hidden="1" customHeight="1">
      <c r="D745" s="15"/>
    </row>
    <row r="746" ht="15.75" hidden="1" customHeight="1">
      <c r="D746" s="15"/>
    </row>
    <row r="747" ht="15.75" hidden="1" customHeight="1">
      <c r="D747" s="15"/>
    </row>
    <row r="748" ht="15.75" hidden="1" customHeight="1">
      <c r="D748" s="15"/>
    </row>
    <row r="749" ht="15.75" hidden="1" customHeight="1">
      <c r="D749" s="15"/>
    </row>
    <row r="750" ht="15.75" hidden="1" customHeight="1">
      <c r="D750" s="15"/>
    </row>
    <row r="751" ht="15.75" hidden="1" customHeight="1">
      <c r="D751" s="15"/>
    </row>
    <row r="752" ht="15.75" hidden="1" customHeight="1">
      <c r="D752" s="15"/>
    </row>
    <row r="753" ht="15.75" hidden="1" customHeight="1">
      <c r="D753" s="15"/>
    </row>
    <row r="754" ht="15.75" hidden="1" customHeight="1">
      <c r="D754" s="15"/>
    </row>
    <row r="755" ht="15.75" hidden="1" customHeight="1">
      <c r="D755" s="15"/>
    </row>
    <row r="756" ht="15.75" hidden="1" customHeight="1">
      <c r="D756" s="15"/>
    </row>
    <row r="757" ht="15.75" hidden="1" customHeight="1">
      <c r="D757" s="15"/>
    </row>
    <row r="758" ht="15.75" hidden="1" customHeight="1">
      <c r="D758" s="15"/>
    </row>
    <row r="759" ht="15.75" hidden="1" customHeight="1">
      <c r="D759" s="15"/>
    </row>
    <row r="760" ht="15.75" hidden="1" customHeight="1">
      <c r="D760" s="15"/>
    </row>
    <row r="761" ht="15.75" hidden="1" customHeight="1">
      <c r="D761" s="15"/>
    </row>
    <row r="762" ht="15.75" hidden="1" customHeight="1">
      <c r="D762" s="15"/>
    </row>
    <row r="763" ht="15.75" hidden="1" customHeight="1">
      <c r="D763" s="15"/>
    </row>
    <row r="764" ht="15.75" hidden="1" customHeight="1">
      <c r="D764" s="15"/>
    </row>
    <row r="765" ht="15.75" hidden="1" customHeight="1">
      <c r="D765" s="15"/>
    </row>
    <row r="766" ht="15.75" hidden="1" customHeight="1">
      <c r="D766" s="15"/>
    </row>
    <row r="767" ht="15.75" hidden="1" customHeight="1">
      <c r="D767" s="15"/>
    </row>
    <row r="768" ht="15.75" hidden="1" customHeight="1">
      <c r="D768" s="15"/>
    </row>
    <row r="769" ht="15.75" hidden="1" customHeight="1">
      <c r="D769" s="15"/>
    </row>
    <row r="770" ht="15.75" hidden="1" customHeight="1">
      <c r="D770" s="15"/>
    </row>
    <row r="771" ht="15.75" hidden="1" customHeight="1">
      <c r="D771" s="15"/>
    </row>
    <row r="772" ht="15.75" hidden="1" customHeight="1">
      <c r="D772" s="15"/>
    </row>
    <row r="773" ht="15.75" hidden="1" customHeight="1">
      <c r="D773" s="15"/>
    </row>
    <row r="774" ht="15.75" hidden="1" customHeight="1">
      <c r="D774" s="15"/>
    </row>
    <row r="775" ht="15.75" hidden="1" customHeight="1">
      <c r="D775" s="15"/>
    </row>
    <row r="776" ht="15.75" hidden="1" customHeight="1">
      <c r="D776" s="15"/>
    </row>
    <row r="777" ht="15.75" hidden="1" customHeight="1">
      <c r="D777" s="15"/>
    </row>
    <row r="778" ht="15.75" hidden="1" customHeight="1">
      <c r="D778" s="15"/>
    </row>
    <row r="779" ht="15.75" hidden="1" customHeight="1">
      <c r="D779" s="15"/>
    </row>
    <row r="780" ht="15.75" hidden="1" customHeight="1">
      <c r="D780" s="15"/>
    </row>
    <row r="781" ht="15.75" hidden="1" customHeight="1">
      <c r="D781" s="15"/>
    </row>
    <row r="782" ht="15.75" hidden="1" customHeight="1">
      <c r="D782" s="15"/>
    </row>
    <row r="783" ht="15.75" hidden="1" customHeight="1">
      <c r="D783" s="15"/>
    </row>
    <row r="784" ht="15.75" hidden="1" customHeight="1">
      <c r="D784" s="15"/>
    </row>
    <row r="785" ht="15.75" hidden="1" customHeight="1">
      <c r="D785" s="15"/>
    </row>
    <row r="786" ht="15.75" hidden="1" customHeight="1">
      <c r="D786" s="15"/>
    </row>
    <row r="787" ht="15.75" hidden="1" customHeight="1">
      <c r="D787" s="15"/>
    </row>
    <row r="788" ht="15.75" hidden="1" customHeight="1">
      <c r="D788" s="15"/>
    </row>
    <row r="789" ht="15.75" hidden="1" customHeight="1">
      <c r="D789" s="15"/>
    </row>
    <row r="790" ht="15.75" hidden="1" customHeight="1">
      <c r="D790" s="15"/>
    </row>
    <row r="791" ht="15.75" hidden="1" customHeight="1">
      <c r="D791" s="15"/>
    </row>
    <row r="792" ht="15.75" hidden="1" customHeight="1">
      <c r="D792" s="15"/>
    </row>
    <row r="793" ht="15.75" hidden="1" customHeight="1">
      <c r="D793" s="15"/>
    </row>
    <row r="794" ht="15.75" hidden="1" customHeight="1">
      <c r="D794" s="15"/>
    </row>
    <row r="795" ht="15.75" hidden="1" customHeight="1">
      <c r="D795" s="15"/>
    </row>
    <row r="796" ht="15.75" hidden="1" customHeight="1">
      <c r="D796" s="15"/>
    </row>
    <row r="797" ht="15.75" hidden="1" customHeight="1">
      <c r="D797" s="15"/>
    </row>
    <row r="798" ht="15.75" hidden="1" customHeight="1">
      <c r="D798" s="15"/>
    </row>
    <row r="799" ht="15.75" hidden="1" customHeight="1">
      <c r="D799" s="15"/>
    </row>
    <row r="800" ht="15.75" hidden="1" customHeight="1">
      <c r="D800" s="15"/>
    </row>
    <row r="801" ht="15.75" hidden="1" customHeight="1">
      <c r="D801" s="15"/>
    </row>
    <row r="802" ht="15.75" hidden="1" customHeight="1">
      <c r="D802" s="15"/>
    </row>
    <row r="803" ht="15.75" hidden="1" customHeight="1">
      <c r="D803" s="15"/>
    </row>
    <row r="804" ht="15.75" hidden="1" customHeight="1">
      <c r="D804" s="15"/>
    </row>
    <row r="805" ht="15.75" hidden="1" customHeight="1">
      <c r="D805" s="15"/>
    </row>
    <row r="806" ht="15.75" hidden="1" customHeight="1">
      <c r="D806" s="15"/>
    </row>
    <row r="807" ht="15.75" hidden="1" customHeight="1">
      <c r="D807" s="15"/>
    </row>
    <row r="808" ht="15.75" hidden="1" customHeight="1">
      <c r="D808" s="15"/>
    </row>
    <row r="809" ht="15.75" hidden="1" customHeight="1">
      <c r="D809" s="15"/>
    </row>
    <row r="810" ht="15.75" hidden="1" customHeight="1">
      <c r="D810" s="15"/>
    </row>
    <row r="811" ht="15.75" hidden="1" customHeight="1">
      <c r="D811" s="15"/>
    </row>
    <row r="812" ht="15.75" hidden="1" customHeight="1">
      <c r="D812" s="15"/>
    </row>
    <row r="813" ht="15.75" hidden="1" customHeight="1">
      <c r="D813" s="15"/>
    </row>
    <row r="814" ht="15.75" hidden="1" customHeight="1">
      <c r="D814" s="15"/>
    </row>
    <row r="815" ht="15.75" hidden="1" customHeight="1">
      <c r="D815" s="15"/>
    </row>
    <row r="816" ht="15.75" hidden="1" customHeight="1">
      <c r="D816" s="15"/>
    </row>
    <row r="817" ht="15.75" hidden="1" customHeight="1">
      <c r="D817" s="15"/>
    </row>
    <row r="818" ht="15.75" hidden="1" customHeight="1">
      <c r="D818" s="15"/>
    </row>
    <row r="819" ht="15.75" hidden="1" customHeight="1">
      <c r="D819" s="15"/>
    </row>
    <row r="820" ht="15.75" hidden="1" customHeight="1">
      <c r="D820" s="15"/>
    </row>
    <row r="821" ht="15.75" hidden="1" customHeight="1">
      <c r="D821" s="15"/>
    </row>
    <row r="822" ht="15.75" hidden="1" customHeight="1">
      <c r="D822" s="15"/>
    </row>
    <row r="823" ht="15.75" hidden="1" customHeight="1">
      <c r="D823" s="15"/>
    </row>
    <row r="824" ht="15.75" hidden="1" customHeight="1">
      <c r="D824" s="15"/>
    </row>
    <row r="825" ht="15.75" hidden="1" customHeight="1">
      <c r="D825" s="15"/>
    </row>
    <row r="826" ht="15.75" hidden="1" customHeight="1">
      <c r="D826" s="15"/>
    </row>
    <row r="827" ht="15.75" hidden="1" customHeight="1">
      <c r="D827" s="15"/>
    </row>
    <row r="828" ht="15.75" hidden="1" customHeight="1">
      <c r="D828" s="15"/>
    </row>
    <row r="829" ht="15.75" hidden="1" customHeight="1">
      <c r="D829" s="15"/>
    </row>
    <row r="830" ht="15.75" hidden="1" customHeight="1">
      <c r="D830" s="15"/>
    </row>
    <row r="831" ht="15.75" hidden="1" customHeight="1">
      <c r="D831" s="15"/>
    </row>
    <row r="832" ht="15.75" hidden="1" customHeight="1">
      <c r="D832" s="15"/>
    </row>
    <row r="833" ht="15.75" hidden="1" customHeight="1">
      <c r="D833" s="15"/>
    </row>
    <row r="834" ht="15.75" hidden="1" customHeight="1">
      <c r="D834" s="15"/>
    </row>
    <row r="835" ht="15.75" hidden="1" customHeight="1">
      <c r="D835" s="15"/>
    </row>
    <row r="836" ht="15.75" hidden="1" customHeight="1">
      <c r="D836" s="15"/>
    </row>
    <row r="837" ht="15.75" hidden="1" customHeight="1">
      <c r="D837" s="15"/>
    </row>
    <row r="838" ht="15.75" hidden="1" customHeight="1">
      <c r="D838" s="15"/>
    </row>
    <row r="839" ht="15.75" hidden="1" customHeight="1">
      <c r="D839" s="15"/>
    </row>
    <row r="840" ht="15.75" hidden="1" customHeight="1">
      <c r="D840" s="15"/>
    </row>
    <row r="841" ht="15.75" hidden="1" customHeight="1">
      <c r="D841" s="15"/>
    </row>
    <row r="842" ht="15.75" hidden="1" customHeight="1">
      <c r="D842" s="15"/>
    </row>
    <row r="843" ht="15.75" hidden="1" customHeight="1">
      <c r="D843" s="15"/>
    </row>
    <row r="844" ht="15.75" hidden="1" customHeight="1">
      <c r="D844" s="15"/>
    </row>
    <row r="845" ht="15.75" hidden="1" customHeight="1">
      <c r="D845" s="15"/>
    </row>
    <row r="846" ht="15.75" hidden="1" customHeight="1">
      <c r="D846" s="15"/>
    </row>
    <row r="847" ht="15.75" hidden="1" customHeight="1">
      <c r="D847" s="15"/>
    </row>
    <row r="848" ht="15.75" hidden="1" customHeight="1">
      <c r="D848" s="15"/>
    </row>
    <row r="849" ht="15.75" hidden="1" customHeight="1">
      <c r="D849" s="15"/>
    </row>
    <row r="850" ht="15.75" hidden="1" customHeight="1">
      <c r="D850" s="15"/>
    </row>
    <row r="851" ht="15.75" hidden="1" customHeight="1">
      <c r="D851" s="15"/>
    </row>
    <row r="852" ht="15.75" hidden="1" customHeight="1">
      <c r="D852" s="15"/>
    </row>
    <row r="853" ht="15.75" hidden="1" customHeight="1">
      <c r="D853" s="15"/>
    </row>
    <row r="854" ht="15.75" hidden="1" customHeight="1">
      <c r="D854" s="15"/>
    </row>
    <row r="855" ht="15.75" hidden="1" customHeight="1">
      <c r="D855" s="15"/>
    </row>
    <row r="856" ht="15.75" hidden="1" customHeight="1">
      <c r="D856" s="15"/>
    </row>
    <row r="857" ht="15.75" hidden="1" customHeight="1">
      <c r="D857" s="15"/>
    </row>
    <row r="858" ht="15.75" hidden="1" customHeight="1">
      <c r="D858" s="15"/>
    </row>
    <row r="859" ht="15.75" hidden="1" customHeight="1">
      <c r="D859" s="15"/>
    </row>
    <row r="860" ht="15.75" hidden="1" customHeight="1">
      <c r="D860" s="15"/>
    </row>
    <row r="861" ht="15.75" hidden="1" customHeight="1">
      <c r="D861" s="15"/>
    </row>
    <row r="862" ht="15.75" hidden="1" customHeight="1">
      <c r="D862" s="15"/>
    </row>
    <row r="863" ht="15.75" hidden="1" customHeight="1">
      <c r="D863" s="15"/>
    </row>
    <row r="864" ht="15.75" hidden="1" customHeight="1">
      <c r="D864" s="15"/>
    </row>
    <row r="865" ht="15.75" hidden="1" customHeight="1">
      <c r="D865" s="15"/>
    </row>
    <row r="866" ht="15.75" hidden="1" customHeight="1">
      <c r="D866" s="15"/>
    </row>
    <row r="867" ht="15.75" hidden="1" customHeight="1">
      <c r="D867" s="15"/>
    </row>
    <row r="868" ht="15.75" hidden="1" customHeight="1">
      <c r="D868" s="15"/>
    </row>
    <row r="869" ht="15.75" hidden="1" customHeight="1">
      <c r="D869" s="15"/>
    </row>
    <row r="870" ht="15.75" hidden="1" customHeight="1">
      <c r="D870" s="15"/>
    </row>
    <row r="871" ht="15.75" hidden="1" customHeight="1">
      <c r="D871" s="15"/>
    </row>
    <row r="872" ht="15.75" hidden="1" customHeight="1">
      <c r="D872" s="15"/>
    </row>
    <row r="873" ht="15.75" hidden="1" customHeight="1">
      <c r="D873" s="15"/>
    </row>
    <row r="874" ht="15.75" hidden="1" customHeight="1">
      <c r="D874" s="15"/>
    </row>
    <row r="875" ht="15.75" hidden="1" customHeight="1">
      <c r="D875" s="15"/>
    </row>
    <row r="876" ht="15.75" hidden="1" customHeight="1">
      <c r="D876" s="15"/>
    </row>
    <row r="877" ht="15.75" hidden="1" customHeight="1">
      <c r="D877" s="15"/>
    </row>
    <row r="878" ht="15.75" hidden="1" customHeight="1">
      <c r="D878" s="15"/>
    </row>
    <row r="879" ht="15.75" hidden="1" customHeight="1">
      <c r="D879" s="15"/>
    </row>
    <row r="880" ht="15.75" hidden="1" customHeight="1">
      <c r="D880" s="15"/>
    </row>
    <row r="881" ht="15.75" hidden="1" customHeight="1">
      <c r="D881" s="15"/>
    </row>
    <row r="882" ht="15.75" hidden="1" customHeight="1">
      <c r="D882" s="15"/>
    </row>
    <row r="883" ht="15.75" hidden="1" customHeight="1">
      <c r="D883" s="15"/>
    </row>
    <row r="884" ht="15.75" hidden="1" customHeight="1">
      <c r="D884" s="15"/>
    </row>
    <row r="885" ht="15.75" hidden="1" customHeight="1">
      <c r="D885" s="15"/>
    </row>
    <row r="886" ht="15.75" hidden="1" customHeight="1">
      <c r="D886" s="15"/>
    </row>
    <row r="887" ht="15.75" hidden="1" customHeight="1">
      <c r="D887" s="15"/>
    </row>
    <row r="888" ht="15.75" hidden="1" customHeight="1">
      <c r="D888" s="15"/>
    </row>
    <row r="889" ht="15.75" hidden="1" customHeight="1">
      <c r="D889" s="15"/>
    </row>
    <row r="890" ht="15.75" hidden="1" customHeight="1">
      <c r="D890" s="15"/>
    </row>
    <row r="891" ht="15.75" hidden="1" customHeight="1">
      <c r="D891" s="15"/>
    </row>
    <row r="892" ht="15.75" hidden="1" customHeight="1">
      <c r="D892" s="15"/>
    </row>
    <row r="893" ht="15.75" hidden="1" customHeight="1">
      <c r="D893" s="15"/>
    </row>
    <row r="894" ht="15.75" hidden="1" customHeight="1">
      <c r="D894" s="15"/>
    </row>
    <row r="895" ht="15.75" hidden="1" customHeight="1">
      <c r="D895" s="15"/>
    </row>
    <row r="896" ht="15.75" hidden="1" customHeight="1">
      <c r="D896" s="15"/>
    </row>
    <row r="897" ht="15.75" hidden="1" customHeight="1">
      <c r="D897" s="15"/>
    </row>
    <row r="898" ht="15.75" hidden="1" customHeight="1">
      <c r="D898" s="15"/>
    </row>
    <row r="899" ht="15.75" hidden="1" customHeight="1">
      <c r="D899" s="15"/>
    </row>
    <row r="900" ht="15.75" hidden="1" customHeight="1">
      <c r="D900" s="15"/>
    </row>
    <row r="901" ht="15.75" hidden="1" customHeight="1">
      <c r="D901" s="15"/>
    </row>
    <row r="902" ht="15.75" hidden="1" customHeight="1">
      <c r="D902" s="15"/>
    </row>
    <row r="903" ht="15.75" hidden="1" customHeight="1">
      <c r="D903" s="15"/>
    </row>
    <row r="904" ht="15.75" hidden="1" customHeight="1">
      <c r="D904" s="15"/>
    </row>
    <row r="905" ht="15.75" hidden="1" customHeight="1">
      <c r="D905" s="15"/>
    </row>
    <row r="906" ht="15.75" hidden="1" customHeight="1">
      <c r="D906" s="15"/>
    </row>
    <row r="907" ht="15.75" hidden="1" customHeight="1">
      <c r="D907" s="15"/>
    </row>
    <row r="908" ht="15.75" hidden="1" customHeight="1">
      <c r="D908" s="15"/>
    </row>
    <row r="909" ht="15.75" hidden="1" customHeight="1">
      <c r="D909" s="15"/>
    </row>
    <row r="910" ht="15.75" hidden="1" customHeight="1">
      <c r="D910" s="15"/>
    </row>
    <row r="911" ht="15.75" hidden="1" customHeight="1">
      <c r="D911" s="15"/>
    </row>
    <row r="912" ht="15.75" hidden="1" customHeight="1">
      <c r="D912" s="15"/>
    </row>
    <row r="913" ht="15.75" hidden="1" customHeight="1">
      <c r="D913" s="15"/>
    </row>
    <row r="914" ht="15.75" hidden="1" customHeight="1">
      <c r="D914" s="15"/>
    </row>
    <row r="915" ht="15.75" hidden="1" customHeight="1">
      <c r="D915" s="15"/>
    </row>
    <row r="916" ht="15.75" hidden="1" customHeight="1">
      <c r="D916" s="15"/>
    </row>
    <row r="917" ht="15.75" hidden="1" customHeight="1">
      <c r="D917" s="15"/>
    </row>
    <row r="918" ht="15.75" hidden="1" customHeight="1">
      <c r="D918" s="15"/>
    </row>
    <row r="919" ht="15.75" hidden="1" customHeight="1">
      <c r="D919" s="15"/>
    </row>
    <row r="920" ht="15.75" hidden="1" customHeight="1">
      <c r="D920" s="15"/>
    </row>
    <row r="921" ht="15.75" hidden="1" customHeight="1">
      <c r="D921" s="15"/>
    </row>
    <row r="922" ht="15.75" hidden="1" customHeight="1">
      <c r="D922" s="15"/>
    </row>
    <row r="923" ht="15.75" hidden="1" customHeight="1">
      <c r="D923" s="15"/>
    </row>
    <row r="924" ht="15.75" hidden="1" customHeight="1">
      <c r="D924" s="15"/>
    </row>
    <row r="925" ht="15.75" hidden="1" customHeight="1">
      <c r="D925" s="15"/>
    </row>
    <row r="926" ht="15.75" hidden="1" customHeight="1">
      <c r="D926" s="15"/>
    </row>
    <row r="927" ht="15.75" hidden="1" customHeight="1">
      <c r="D927" s="15"/>
    </row>
    <row r="928" ht="15.75" hidden="1" customHeight="1">
      <c r="D928" s="15"/>
    </row>
    <row r="929" ht="15.75" hidden="1" customHeight="1">
      <c r="D929" s="15"/>
    </row>
    <row r="930" ht="15.75" hidden="1" customHeight="1">
      <c r="D930" s="15"/>
    </row>
    <row r="931" ht="15.75" hidden="1" customHeight="1">
      <c r="D931" s="15"/>
    </row>
    <row r="932" ht="15.75" hidden="1" customHeight="1">
      <c r="D932" s="15"/>
    </row>
    <row r="933" ht="15.75" hidden="1" customHeight="1">
      <c r="D933" s="15"/>
    </row>
    <row r="934" ht="15.75" hidden="1" customHeight="1">
      <c r="D934" s="15"/>
    </row>
    <row r="935" ht="15.75" hidden="1" customHeight="1">
      <c r="D935" s="15"/>
    </row>
    <row r="936" ht="15.75" hidden="1" customHeight="1">
      <c r="D936" s="15"/>
    </row>
    <row r="937" ht="15.75" hidden="1" customHeight="1">
      <c r="D937" s="15"/>
    </row>
    <row r="938" ht="15.75" hidden="1" customHeight="1">
      <c r="D938" s="15"/>
    </row>
    <row r="939" ht="15.75" hidden="1" customHeight="1">
      <c r="D939" s="15"/>
    </row>
    <row r="940" ht="15.75" hidden="1" customHeight="1">
      <c r="D940" s="15"/>
    </row>
    <row r="941" ht="15.75" hidden="1" customHeight="1">
      <c r="D941" s="15"/>
    </row>
    <row r="942" ht="15.75" hidden="1" customHeight="1">
      <c r="D942" s="15"/>
    </row>
    <row r="943" ht="15.75" hidden="1" customHeight="1">
      <c r="D943" s="15"/>
    </row>
    <row r="944" ht="15.75" hidden="1" customHeight="1">
      <c r="D944" s="15"/>
    </row>
    <row r="945" ht="15.75" hidden="1" customHeight="1">
      <c r="D945" s="15"/>
    </row>
    <row r="946" ht="15.75" hidden="1" customHeight="1">
      <c r="D946" s="15"/>
    </row>
    <row r="947" ht="15.75" hidden="1" customHeight="1">
      <c r="D947" s="15"/>
    </row>
    <row r="948" ht="15.75" hidden="1" customHeight="1">
      <c r="D948" s="15"/>
    </row>
    <row r="949" ht="15.75" hidden="1" customHeight="1">
      <c r="D949" s="15"/>
    </row>
    <row r="950" ht="15.75" hidden="1" customHeight="1">
      <c r="D950" s="15"/>
    </row>
    <row r="951" ht="15.75" hidden="1" customHeight="1">
      <c r="D951" s="15"/>
    </row>
    <row r="952" ht="15.75" hidden="1" customHeight="1">
      <c r="D952" s="15"/>
    </row>
    <row r="953" ht="15.75" hidden="1" customHeight="1">
      <c r="D953" s="15"/>
    </row>
    <row r="954" ht="15.75" hidden="1" customHeight="1">
      <c r="D954" s="15"/>
    </row>
    <row r="955" ht="15.75" hidden="1" customHeight="1">
      <c r="D955" s="15"/>
    </row>
    <row r="956" ht="15.75" hidden="1" customHeight="1">
      <c r="D956" s="15"/>
    </row>
    <row r="957" ht="15.75" hidden="1" customHeight="1">
      <c r="D957" s="15"/>
    </row>
    <row r="958" ht="15.75" hidden="1" customHeight="1">
      <c r="D958" s="15"/>
    </row>
    <row r="959" ht="15.75" hidden="1" customHeight="1">
      <c r="D959" s="15"/>
    </row>
    <row r="960" ht="15.75" hidden="1" customHeight="1">
      <c r="D960" s="15"/>
    </row>
    <row r="961" ht="15.75" hidden="1" customHeight="1">
      <c r="D961" s="15"/>
    </row>
    <row r="962" ht="15.75" hidden="1" customHeight="1">
      <c r="D962" s="15"/>
    </row>
    <row r="963" ht="15.75" hidden="1" customHeight="1">
      <c r="D963" s="15"/>
    </row>
    <row r="964" ht="15.75" hidden="1" customHeight="1">
      <c r="D964" s="15"/>
    </row>
    <row r="965" ht="15.75" hidden="1" customHeight="1">
      <c r="D965" s="15"/>
    </row>
    <row r="966" ht="15.75" hidden="1" customHeight="1">
      <c r="D966" s="15"/>
    </row>
    <row r="967" ht="15.75" hidden="1" customHeight="1">
      <c r="D967" s="15"/>
    </row>
    <row r="968" ht="15.75" hidden="1" customHeight="1">
      <c r="D968" s="15"/>
    </row>
    <row r="969" ht="15.75" hidden="1" customHeight="1">
      <c r="D969" s="15"/>
    </row>
    <row r="970" ht="15.75" hidden="1" customHeight="1">
      <c r="D970" s="15"/>
    </row>
    <row r="971" ht="15.75" hidden="1" customHeight="1">
      <c r="D971" s="15"/>
    </row>
    <row r="972" ht="15.75" hidden="1" customHeight="1">
      <c r="D972" s="15"/>
    </row>
    <row r="973" ht="15.75" hidden="1" customHeight="1">
      <c r="D973" s="15"/>
    </row>
    <row r="974" ht="15.75" hidden="1" customHeight="1">
      <c r="D974" s="15"/>
    </row>
    <row r="975" ht="15.75" hidden="1" customHeight="1">
      <c r="D975" s="15"/>
    </row>
    <row r="976" ht="15.75" hidden="1" customHeight="1">
      <c r="D976" s="15"/>
    </row>
    <row r="977" ht="15.75" hidden="1" customHeight="1">
      <c r="D977" s="15"/>
    </row>
    <row r="978" ht="15.75" hidden="1" customHeight="1">
      <c r="D978" s="15"/>
    </row>
    <row r="979" ht="15.75" hidden="1" customHeight="1">
      <c r="D979" s="15"/>
    </row>
    <row r="980" ht="15.75" hidden="1" customHeight="1">
      <c r="D980" s="15"/>
    </row>
    <row r="981" ht="15.75" hidden="1" customHeight="1">
      <c r="D981" s="15"/>
    </row>
    <row r="982" ht="15.75" hidden="1" customHeight="1">
      <c r="D982" s="15"/>
    </row>
    <row r="983" ht="15.75" hidden="1" customHeight="1">
      <c r="D983" s="15"/>
    </row>
    <row r="984" ht="15.75" hidden="1" customHeight="1">
      <c r="D984" s="15"/>
    </row>
    <row r="985" ht="15.75" hidden="1" customHeight="1">
      <c r="D985" s="15"/>
    </row>
    <row r="986" ht="15.75" hidden="1" customHeight="1">
      <c r="D986" s="15"/>
    </row>
    <row r="987" ht="15.75" hidden="1" customHeight="1">
      <c r="D987" s="15"/>
    </row>
    <row r="988" ht="15.75" hidden="1" customHeight="1">
      <c r="D988" s="15"/>
    </row>
    <row r="989" ht="15.75" hidden="1" customHeight="1">
      <c r="D989" s="15"/>
    </row>
    <row r="990" ht="15.75" hidden="1" customHeight="1">
      <c r="D990" s="15"/>
    </row>
    <row r="991" ht="15.75" hidden="1" customHeight="1">
      <c r="D991" s="15"/>
    </row>
    <row r="992" ht="15.75" hidden="1" customHeight="1">
      <c r="D992" s="15"/>
    </row>
    <row r="993" ht="15.75" hidden="1" customHeight="1">
      <c r="D993" s="15"/>
    </row>
    <row r="994" ht="15.75" hidden="1" customHeight="1">
      <c r="D994" s="15"/>
    </row>
    <row r="995" ht="15.75" hidden="1" customHeight="1">
      <c r="D995" s="15"/>
    </row>
    <row r="996" ht="15.75" hidden="1" customHeight="1">
      <c r="D996" s="15"/>
    </row>
    <row r="997" ht="15.75" hidden="1" customHeight="1">
      <c r="D997" s="15"/>
    </row>
    <row r="998" ht="15.75" hidden="1" customHeight="1">
      <c r="D998" s="15"/>
    </row>
    <row r="999" ht="15.75" hidden="1" customHeight="1">
      <c r="D999" s="15"/>
    </row>
    <row r="1000" ht="15.75" hidden="1" customHeight="1">
      <c r="D1000" s="15"/>
    </row>
    <row r="1001" ht="15.75" customHeight="1">
      <c r="D1001" s="15"/>
    </row>
    <row r="1002" ht="15.75" customHeight="1">
      <c r="D1002" s="15"/>
    </row>
    <row r="1003" ht="15.75" customHeight="1">
      <c r="D1003" s="15"/>
    </row>
    <row r="1004" ht="15.75" customHeight="1">
      <c r="D1004" s="15"/>
    </row>
    <row r="1005" ht="15.75" customHeight="1">
      <c r="D1005" s="15"/>
    </row>
    <row r="1006" ht="15.75" customHeight="1">
      <c r="D1006" s="15"/>
    </row>
    <row r="1007" ht="15.75" customHeight="1">
      <c r="D1007" s="15"/>
    </row>
    <row r="1008" ht="15.75" customHeight="1">
      <c r="D1008" s="15"/>
    </row>
    <row r="1009" ht="15.75" customHeight="1">
      <c r="D1009" s="15"/>
    </row>
    <row r="1010" ht="15.75" customHeight="1">
      <c r="D1010" s="15"/>
    </row>
    <row r="1011" ht="15.75" customHeight="1">
      <c r="D1011" s="15"/>
    </row>
    <row r="1012" ht="15.75" customHeight="1">
      <c r="D1012" s="15"/>
    </row>
    <row r="1013" ht="15.75" customHeight="1">
      <c r="D1013" s="15"/>
    </row>
    <row r="1014" ht="15.75" customHeight="1">
      <c r="D1014" s="15"/>
    </row>
    <row r="1015" ht="15.75" customHeight="1">
      <c r="D1015" s="15"/>
    </row>
    <row r="1016" ht="15.75" customHeight="1">
      <c r="D1016" s="15"/>
    </row>
    <row r="1017" ht="15.75" customHeight="1">
      <c r="D1017" s="15"/>
    </row>
    <row r="1018" ht="15.75" customHeight="1">
      <c r="D1018" s="15"/>
    </row>
    <row r="1019" ht="15.75" customHeight="1">
      <c r="D1019" s="15"/>
    </row>
    <row r="1020" ht="15.75" customHeight="1">
      <c r="D1020" s="15"/>
    </row>
    <row r="1021" ht="15.75" customHeight="1">
      <c r="D1021" s="15"/>
    </row>
    <row r="1022" ht="15.75" customHeight="1">
      <c r="D1022" s="15"/>
    </row>
    <row r="1023" ht="15.75" customHeight="1">
      <c r="D1023" s="15"/>
    </row>
    <row r="1024" ht="15.75" customHeight="1">
      <c r="D1024" s="15"/>
    </row>
    <row r="1025" ht="15.75" customHeight="1">
      <c r="D1025" s="15"/>
    </row>
    <row r="1026" ht="15.75" customHeight="1">
      <c r="D1026" s="15"/>
    </row>
    <row r="1027" ht="15.75" customHeight="1">
      <c r="D1027" s="15"/>
    </row>
    <row r="1028" ht="15.75" customHeight="1">
      <c r="D1028" s="15"/>
    </row>
    <row r="1029" ht="15.75" customHeight="1">
      <c r="D1029" s="15"/>
    </row>
    <row r="1030" ht="15.75" customHeight="1">
      <c r="D1030" s="15"/>
    </row>
    <row r="1031" ht="15.75" customHeight="1">
      <c r="D1031" s="15"/>
    </row>
    <row r="1032" ht="15.75" customHeight="1">
      <c r="D1032" s="15"/>
    </row>
    <row r="1033" ht="15.75" customHeight="1">
      <c r="D1033" s="15"/>
    </row>
    <row r="1034" ht="15.75" customHeight="1">
      <c r="D1034" s="15"/>
    </row>
    <row r="1035" ht="15.75" customHeight="1">
      <c r="D1035" s="15"/>
    </row>
    <row r="1036" ht="15.75" customHeight="1">
      <c r="D1036" s="15"/>
    </row>
    <row r="1037" ht="15.75" customHeight="1">
      <c r="D1037" s="15"/>
    </row>
    <row r="1038" ht="15.75" customHeight="1">
      <c r="D1038" s="15"/>
    </row>
    <row r="1039" ht="15.75" customHeight="1">
      <c r="D1039" s="15"/>
    </row>
    <row r="1040" ht="15.75" customHeight="1">
      <c r="D1040" s="15"/>
    </row>
    <row r="1041" ht="15.75" customHeight="1">
      <c r="D1041" s="15"/>
    </row>
    <row r="1042" ht="15.75" customHeight="1">
      <c r="D1042" s="15"/>
    </row>
    <row r="1043" ht="15.75" customHeight="1">
      <c r="D1043" s="15"/>
    </row>
    <row r="1044" ht="15.75" customHeight="1">
      <c r="D1044" s="15"/>
    </row>
    <row r="1045" ht="15.75" customHeight="1">
      <c r="D1045" s="15"/>
    </row>
    <row r="1046" ht="15.75" customHeight="1">
      <c r="D1046" s="15"/>
    </row>
    <row r="1047" ht="15.75" customHeight="1">
      <c r="D1047" s="15"/>
    </row>
    <row r="1048" ht="15.75" customHeight="1">
      <c r="D1048" s="15"/>
    </row>
    <row r="1049" ht="15.75" customHeight="1">
      <c r="D1049" s="15"/>
    </row>
    <row r="1050" ht="15.75" customHeight="1">
      <c r="D1050" s="15"/>
    </row>
    <row r="1051" ht="15.75" customHeight="1">
      <c r="D1051" s="15"/>
    </row>
    <row r="1052" ht="15.75" customHeight="1">
      <c r="D1052" s="15"/>
    </row>
    <row r="1053" ht="15.75" customHeight="1">
      <c r="D1053" s="15"/>
    </row>
    <row r="1054" ht="15.75" customHeight="1">
      <c r="D1054" s="15"/>
    </row>
    <row r="1055" ht="15.75" customHeight="1">
      <c r="D1055" s="15"/>
    </row>
    <row r="1056" ht="15.75" customHeight="1">
      <c r="D1056" s="15"/>
    </row>
    <row r="1057" ht="15.75" customHeight="1">
      <c r="D1057" s="15"/>
    </row>
    <row r="1058" ht="15.75" customHeight="1">
      <c r="D1058" s="15"/>
    </row>
    <row r="1059" ht="15.75" customHeight="1">
      <c r="D1059" s="15"/>
    </row>
    <row r="1060" ht="15.75" customHeight="1">
      <c r="D1060" s="15"/>
    </row>
    <row r="1061" ht="15.75" customHeight="1">
      <c r="D1061" s="15"/>
    </row>
    <row r="1062" ht="15.75" customHeight="1">
      <c r="D1062" s="15"/>
    </row>
    <row r="1063" ht="15.75" customHeight="1">
      <c r="D1063" s="15"/>
    </row>
    <row r="1064" ht="15.75" customHeight="1">
      <c r="D1064" s="15"/>
    </row>
    <row r="1065" ht="15.75" customHeight="1">
      <c r="D1065" s="15"/>
    </row>
    <row r="1066" ht="15.75" customHeight="1">
      <c r="D1066" s="15"/>
    </row>
    <row r="1067" ht="15.75" customHeight="1">
      <c r="D1067" s="15"/>
    </row>
    <row r="1068" ht="15.75" customHeight="1">
      <c r="D1068" s="15"/>
    </row>
    <row r="1069" ht="15.75" customHeight="1">
      <c r="D1069" s="15"/>
    </row>
    <row r="1070" ht="15.75" customHeight="1">
      <c r="D1070" s="15"/>
    </row>
    <row r="1071" ht="15.75" customHeight="1">
      <c r="D1071" s="15"/>
    </row>
    <row r="1072" ht="15.75" customHeight="1">
      <c r="D1072" s="15"/>
    </row>
    <row r="1073" ht="15.75" customHeight="1">
      <c r="D1073" s="15"/>
    </row>
    <row r="1074" ht="15.75" customHeight="1">
      <c r="D1074" s="15"/>
    </row>
    <row r="1075" ht="15.75" customHeight="1">
      <c r="D1075" s="15"/>
    </row>
    <row r="1076" ht="15.75" customHeight="1">
      <c r="D1076" s="15"/>
    </row>
    <row r="1077" ht="15.75" customHeight="1">
      <c r="D1077" s="15"/>
    </row>
    <row r="1078" ht="15.75" customHeight="1">
      <c r="D1078" s="15"/>
    </row>
    <row r="1079" ht="15.75" customHeight="1">
      <c r="D1079" s="15"/>
    </row>
    <row r="1080" ht="15.75" customHeight="1">
      <c r="D1080" s="15"/>
    </row>
    <row r="1081" ht="15.75" customHeight="1">
      <c r="D1081" s="15"/>
    </row>
    <row r="1082" ht="15.75" customHeight="1">
      <c r="D1082" s="15"/>
    </row>
    <row r="1083" ht="15.75" customHeight="1">
      <c r="D1083" s="15"/>
    </row>
    <row r="1084" ht="15.75" customHeight="1">
      <c r="D1084" s="15"/>
    </row>
    <row r="1085" ht="15.75" customHeight="1">
      <c r="D1085" s="15"/>
    </row>
    <row r="1086" ht="15.75" customHeight="1">
      <c r="D1086" s="15"/>
    </row>
    <row r="1087" ht="15.75" customHeight="1">
      <c r="D1087" s="15"/>
    </row>
    <row r="1088" ht="15.75" customHeight="1">
      <c r="D1088" s="15"/>
    </row>
    <row r="1089" ht="15.75" customHeight="1">
      <c r="D1089" s="15"/>
    </row>
    <row r="1090" ht="15.75" customHeight="1">
      <c r="D1090" s="15"/>
    </row>
    <row r="1091" ht="15.75" customHeight="1">
      <c r="D1091" s="15"/>
    </row>
    <row r="1092" ht="15.75" customHeight="1">
      <c r="D1092" s="15"/>
    </row>
    <row r="1093" ht="15.75" customHeight="1">
      <c r="D1093" s="15"/>
    </row>
    <row r="1094" ht="15.75" customHeight="1">
      <c r="D1094" s="15"/>
    </row>
    <row r="1095" ht="15.75" customHeight="1">
      <c r="D1095" s="15"/>
    </row>
    <row r="1096" ht="15.75" customHeight="1">
      <c r="D1096" s="15"/>
    </row>
    <row r="1097" ht="15.75" customHeight="1">
      <c r="D1097" s="15"/>
    </row>
    <row r="1098" ht="15.75" customHeight="1">
      <c r="D1098" s="15"/>
    </row>
    <row r="1099" ht="15.75" customHeight="1">
      <c r="D1099" s="15"/>
    </row>
    <row r="1100" ht="15.75" customHeight="1">
      <c r="D1100" s="15"/>
    </row>
    <row r="1101" ht="15.75" customHeight="1">
      <c r="D1101" s="15"/>
    </row>
    <row r="1102" ht="15.75" customHeight="1">
      <c r="D1102" s="15"/>
    </row>
    <row r="1103" ht="15.75" customHeight="1">
      <c r="D1103" s="15"/>
    </row>
    <row r="1104" ht="15.75" customHeight="1">
      <c r="D1104" s="15"/>
    </row>
    <row r="1105" ht="15.75" customHeight="1">
      <c r="D1105" s="15"/>
    </row>
    <row r="1106" ht="15.75" customHeight="1">
      <c r="D1106" s="15"/>
    </row>
    <row r="1107" ht="15.75" customHeight="1">
      <c r="D1107" s="15"/>
    </row>
    <row r="1108" ht="15.75" customHeight="1">
      <c r="D1108" s="15"/>
    </row>
    <row r="1109" ht="15.75" customHeight="1">
      <c r="D1109" s="15"/>
    </row>
    <row r="1110" ht="15.75" customHeight="1">
      <c r="D1110" s="15"/>
    </row>
    <row r="1111" ht="15.75" customHeight="1">
      <c r="D1111" s="15"/>
    </row>
    <row r="1112" ht="15.75" customHeight="1">
      <c r="D1112" s="15"/>
    </row>
    <row r="1113" ht="15.75" customHeight="1">
      <c r="D1113" s="15"/>
    </row>
    <row r="1114" ht="15.75" customHeight="1">
      <c r="D1114" s="15"/>
    </row>
    <row r="1115" ht="15.75" customHeight="1">
      <c r="D1115" s="15"/>
    </row>
    <row r="1116" ht="15.75" customHeight="1">
      <c r="D1116" s="15"/>
    </row>
    <row r="1117" ht="15.75" customHeight="1">
      <c r="D1117" s="15"/>
    </row>
    <row r="1118" ht="15.75" customHeight="1">
      <c r="D1118" s="15"/>
    </row>
    <row r="1119" ht="15.75" customHeight="1">
      <c r="D1119" s="15"/>
    </row>
    <row r="1120" ht="15.75" customHeight="1">
      <c r="D1120" s="15"/>
    </row>
    <row r="1121" ht="15.75" customHeight="1">
      <c r="D1121" s="15"/>
    </row>
    <row r="1122" ht="15.75" customHeight="1">
      <c r="D1122" s="15"/>
    </row>
    <row r="1123" ht="15.75" customHeight="1">
      <c r="D1123" s="15"/>
    </row>
    <row r="1124" ht="15.75" customHeight="1">
      <c r="D1124" s="15"/>
    </row>
    <row r="1125" ht="15.75" customHeight="1">
      <c r="D1125" s="15"/>
    </row>
    <row r="1126" ht="15.75" customHeight="1">
      <c r="D1126" s="15"/>
    </row>
    <row r="1127" ht="15.75" customHeight="1">
      <c r="D1127" s="15"/>
    </row>
    <row r="1128" ht="15.75" customHeight="1">
      <c r="D1128" s="15"/>
    </row>
    <row r="1129" ht="15.75" customHeight="1">
      <c r="D1129" s="15"/>
    </row>
    <row r="1130" ht="15.75" customHeight="1">
      <c r="D1130" s="15"/>
    </row>
    <row r="1131" ht="15.75" customHeight="1">
      <c r="D1131" s="15"/>
    </row>
    <row r="1132" ht="15.75" customHeight="1">
      <c r="D1132" s="15"/>
    </row>
    <row r="1133" ht="15.75" customHeight="1">
      <c r="D1133" s="15"/>
    </row>
    <row r="1134" ht="15.75" customHeight="1">
      <c r="D1134" s="15"/>
    </row>
    <row r="1135" ht="15.75" customHeight="1">
      <c r="D1135" s="15"/>
    </row>
    <row r="1136" ht="15.75" customHeight="1">
      <c r="D1136" s="15"/>
    </row>
    <row r="1137" ht="15.75" customHeight="1">
      <c r="D1137" s="15"/>
    </row>
    <row r="1138" ht="15.75" customHeight="1">
      <c r="D1138" s="15"/>
    </row>
    <row r="1139" ht="15.75" customHeight="1">
      <c r="D1139" s="15"/>
    </row>
    <row r="1140" ht="15.75" customHeight="1">
      <c r="D1140" s="15"/>
    </row>
    <row r="1141" ht="15.75" customHeight="1">
      <c r="D1141" s="15"/>
    </row>
    <row r="1142" ht="15.75" customHeight="1">
      <c r="D1142" s="15"/>
    </row>
    <row r="1143" ht="15.75" customHeight="1">
      <c r="D1143" s="15"/>
    </row>
    <row r="1144" ht="15.75" customHeight="1">
      <c r="D1144" s="15"/>
    </row>
    <row r="1145" ht="15.75" customHeight="1">
      <c r="D1145" s="15"/>
    </row>
    <row r="1146" ht="15.75" customHeight="1">
      <c r="D1146" s="15"/>
    </row>
    <row r="1147" ht="15.75" customHeight="1">
      <c r="D1147" s="15"/>
    </row>
    <row r="1148" ht="15.75" customHeight="1">
      <c r="D1148" s="15"/>
    </row>
    <row r="1149" ht="15.75" customHeight="1">
      <c r="D1149" s="15"/>
    </row>
    <row r="1150" ht="15.75" customHeight="1">
      <c r="D1150" s="15"/>
    </row>
    <row r="1151" ht="15.75" customHeight="1">
      <c r="D1151" s="15"/>
    </row>
    <row r="1152" ht="15.75" customHeight="1">
      <c r="D1152" s="15"/>
    </row>
    <row r="1153" ht="15.75" customHeight="1">
      <c r="D1153" s="15"/>
    </row>
    <row r="1154" ht="15.75" customHeight="1">
      <c r="D1154" s="15"/>
    </row>
    <row r="1155" ht="15.75" customHeight="1">
      <c r="D1155" s="15"/>
    </row>
    <row r="1156" ht="15.75" customHeight="1">
      <c r="D1156" s="15"/>
    </row>
    <row r="1157" ht="15.75" customHeight="1">
      <c r="D1157" s="15"/>
    </row>
    <row r="1158" ht="15.75" customHeight="1">
      <c r="D1158" s="15"/>
    </row>
    <row r="1159" ht="15.75" customHeight="1">
      <c r="D1159" s="15"/>
    </row>
    <row r="1160" ht="15.75" customHeight="1">
      <c r="D1160" s="15"/>
    </row>
    <row r="1161" ht="15.75" customHeight="1">
      <c r="D1161" s="15"/>
    </row>
    <row r="1162" ht="15.75" customHeight="1">
      <c r="D1162" s="15"/>
    </row>
    <row r="1163" ht="15.75" customHeight="1">
      <c r="D1163" s="15"/>
    </row>
    <row r="1164" ht="15.75" customHeight="1">
      <c r="D1164" s="15"/>
    </row>
    <row r="1165" ht="15.75" customHeight="1">
      <c r="D1165" s="15"/>
    </row>
    <row r="1166" ht="15.75" customHeight="1">
      <c r="D1166" s="15"/>
    </row>
    <row r="1167" ht="15.75" customHeight="1">
      <c r="D1167" s="15"/>
    </row>
    <row r="1168" ht="15.75" customHeight="1">
      <c r="D1168" s="15"/>
    </row>
    <row r="1169" ht="15.75" customHeight="1">
      <c r="D1169" s="15"/>
    </row>
    <row r="1170" ht="15.75" customHeight="1">
      <c r="D1170" s="15"/>
    </row>
    <row r="1171" ht="15.75" customHeight="1">
      <c r="D1171" s="15"/>
    </row>
    <row r="1172" ht="15.75" customHeight="1">
      <c r="D1172" s="15"/>
    </row>
    <row r="1173" ht="15.75" customHeight="1">
      <c r="D1173" s="15"/>
    </row>
    <row r="1174" ht="15.75" customHeight="1">
      <c r="D1174" s="15"/>
    </row>
    <row r="1175" ht="15.75" customHeight="1">
      <c r="D1175" s="15"/>
    </row>
    <row r="1176" ht="15.75" customHeight="1">
      <c r="D1176" s="15"/>
    </row>
    <row r="1177" ht="15.75" customHeight="1">
      <c r="D1177" s="15"/>
    </row>
    <row r="1178" ht="15.75" customHeight="1">
      <c r="D1178" s="15"/>
    </row>
    <row r="1179" ht="15.75" customHeight="1">
      <c r="D1179" s="15"/>
    </row>
    <row r="1180" ht="15.75" customHeight="1">
      <c r="D1180" s="15"/>
    </row>
    <row r="1181" ht="15.75" customHeight="1">
      <c r="D1181" s="15"/>
    </row>
    <row r="1182" ht="15.75" customHeight="1">
      <c r="D1182" s="15"/>
    </row>
    <row r="1183" ht="15.75" customHeight="1">
      <c r="D1183" s="15"/>
    </row>
    <row r="1184" ht="15.75" customHeight="1">
      <c r="D1184" s="15"/>
    </row>
    <row r="1185" ht="15.75" customHeight="1">
      <c r="D1185" s="15"/>
    </row>
    <row r="1186" ht="15.75" customHeight="1">
      <c r="D1186" s="15"/>
    </row>
    <row r="1187" ht="15.75" customHeight="1">
      <c r="D1187" s="15"/>
    </row>
    <row r="1188" ht="15.75" customHeight="1">
      <c r="D1188" s="15"/>
    </row>
    <row r="1189" ht="15.75" customHeight="1">
      <c r="D1189" s="15"/>
    </row>
    <row r="1190" ht="15.75" customHeight="1">
      <c r="D1190" s="15"/>
    </row>
    <row r="1191" ht="15.75" customHeight="1">
      <c r="D1191" s="15"/>
    </row>
    <row r="1192" ht="15.75" customHeight="1">
      <c r="D1192" s="15"/>
    </row>
    <row r="1193" ht="15.75" customHeight="1">
      <c r="D1193" s="15"/>
    </row>
    <row r="1194" ht="15.75" customHeight="1">
      <c r="D1194" s="15"/>
    </row>
    <row r="1195" ht="15.75" customHeight="1">
      <c r="D1195" s="15"/>
    </row>
    <row r="1196" ht="15.75" customHeight="1">
      <c r="D1196" s="15"/>
    </row>
    <row r="1197" ht="15.75" customHeight="1">
      <c r="D1197" s="15"/>
    </row>
    <row r="1198" ht="15.75" customHeight="1">
      <c r="D1198" s="15"/>
    </row>
    <row r="1199" ht="15.75" customHeight="1">
      <c r="D1199" s="15"/>
    </row>
    <row r="1200" ht="15.75" customHeight="1">
      <c r="D1200" s="15"/>
    </row>
    <row r="1201" ht="15.75" customHeight="1">
      <c r="D1201" s="15"/>
    </row>
    <row r="1202" ht="15.75" customHeight="1">
      <c r="D1202" s="15"/>
    </row>
    <row r="1203" ht="15.75" customHeight="1">
      <c r="D1203" s="15"/>
    </row>
    <row r="1204" ht="15.75" customHeight="1">
      <c r="D1204" s="15"/>
    </row>
    <row r="1205" ht="15.75" customHeight="1">
      <c r="D1205" s="15"/>
    </row>
    <row r="1206" ht="15.75" customHeight="1">
      <c r="D1206" s="15"/>
    </row>
    <row r="1207" ht="15.75" customHeight="1">
      <c r="D1207" s="15"/>
    </row>
    <row r="1208" ht="15.75" customHeight="1">
      <c r="D1208" s="15"/>
    </row>
    <row r="1209" ht="15.75" customHeight="1">
      <c r="D1209" s="15"/>
    </row>
    <row r="1210" ht="15.75" customHeight="1">
      <c r="D1210" s="15"/>
    </row>
    <row r="1211" ht="15.75" customHeight="1">
      <c r="D1211" s="15"/>
    </row>
    <row r="1212" ht="15.75" customHeight="1">
      <c r="D1212" s="15"/>
    </row>
    <row r="1213" ht="15.75" customHeight="1">
      <c r="D1213" s="15"/>
    </row>
    <row r="1214" ht="15.75" customHeight="1">
      <c r="D1214" s="15"/>
    </row>
    <row r="1215" ht="15.75" customHeight="1">
      <c r="D1215" s="15"/>
    </row>
    <row r="1216" ht="15.75" customHeight="1">
      <c r="D1216" s="15"/>
    </row>
    <row r="1217" ht="15.75" customHeight="1">
      <c r="D1217" s="15"/>
    </row>
    <row r="1218" ht="15.75" customHeight="1">
      <c r="D1218" s="15"/>
    </row>
    <row r="1219" ht="15.75" customHeight="1">
      <c r="D1219" s="15"/>
    </row>
    <row r="1220" ht="15.75" customHeight="1">
      <c r="D1220" s="15"/>
    </row>
    <row r="1221" ht="15.75" customHeight="1">
      <c r="D1221" s="15"/>
    </row>
    <row r="1222" ht="15.75" customHeight="1">
      <c r="D1222" s="15"/>
    </row>
    <row r="1223" ht="15.75" customHeight="1">
      <c r="D1223" s="15"/>
    </row>
    <row r="1224" ht="15.75" customHeight="1">
      <c r="D1224" s="15"/>
    </row>
    <row r="1225" ht="15.75" customHeight="1">
      <c r="D1225" s="15"/>
    </row>
    <row r="1226" ht="15.75" customHeight="1">
      <c r="D1226" s="15"/>
    </row>
    <row r="1227" ht="15.75" customHeight="1">
      <c r="D1227" s="15"/>
    </row>
    <row r="1228" ht="15.75" customHeight="1">
      <c r="D1228" s="15"/>
    </row>
    <row r="1229" ht="15.75" customHeight="1">
      <c r="D1229" s="15"/>
    </row>
    <row r="1230" ht="15.75" customHeight="1">
      <c r="D1230" s="15"/>
    </row>
    <row r="1231" ht="15.75" customHeight="1">
      <c r="D1231" s="15"/>
    </row>
    <row r="1232" ht="15.75" customHeight="1">
      <c r="D1232" s="15"/>
    </row>
    <row r="1233" ht="15.75" customHeight="1">
      <c r="D1233" s="15"/>
    </row>
    <row r="1234" ht="15.75" customHeight="1">
      <c r="D1234" s="15"/>
    </row>
    <row r="1235" ht="15.75" customHeight="1">
      <c r="D1235" s="15"/>
    </row>
    <row r="1236" ht="15.75" customHeight="1">
      <c r="D1236" s="15"/>
    </row>
    <row r="1237" ht="15.75" customHeight="1">
      <c r="D1237" s="15"/>
    </row>
    <row r="1238" ht="15.75" customHeight="1">
      <c r="D1238" s="15"/>
    </row>
    <row r="1239" ht="15.75" customHeight="1">
      <c r="D1239" s="15"/>
    </row>
    <row r="1240" ht="15.75" customHeight="1">
      <c r="D1240" s="15"/>
    </row>
    <row r="1241" ht="15.75" customHeight="1">
      <c r="D1241" s="15"/>
    </row>
    <row r="1242" ht="15.75" customHeight="1">
      <c r="D1242" s="15"/>
    </row>
    <row r="1243" ht="15.75" customHeight="1">
      <c r="D1243" s="15"/>
    </row>
    <row r="1244" ht="15.75" customHeight="1">
      <c r="D1244" s="15"/>
    </row>
    <row r="1245" ht="15.75" customHeight="1">
      <c r="D1245" s="15"/>
    </row>
    <row r="1246" ht="15.75" customHeight="1">
      <c r="D1246" s="15"/>
    </row>
    <row r="1247" ht="15.75" customHeight="1">
      <c r="D1247" s="15"/>
    </row>
    <row r="1248" ht="15.75" customHeight="1">
      <c r="D1248" s="15"/>
    </row>
    <row r="1249" ht="15.75" customHeight="1">
      <c r="D1249" s="15"/>
    </row>
    <row r="1250" ht="15.75" customHeight="1">
      <c r="D1250" s="15"/>
    </row>
    <row r="1251" ht="15.75" customHeight="1">
      <c r="D1251" s="15"/>
    </row>
    <row r="1252" ht="15.75" customHeight="1">
      <c r="D1252" s="15"/>
    </row>
    <row r="1253" ht="15.75" customHeight="1">
      <c r="D1253" s="15"/>
    </row>
    <row r="1254" ht="15.75" customHeight="1">
      <c r="D1254" s="15"/>
    </row>
    <row r="1255" ht="15.75" customHeight="1">
      <c r="D1255" s="15"/>
    </row>
    <row r="1256" ht="15.75" customHeight="1">
      <c r="D1256" s="15"/>
    </row>
    <row r="1257" ht="15.75" customHeight="1">
      <c r="D1257" s="15"/>
    </row>
    <row r="1258" ht="15.75" customHeight="1">
      <c r="D1258" s="15"/>
    </row>
    <row r="1259" ht="15.75" customHeight="1">
      <c r="D1259" s="15"/>
    </row>
    <row r="1260" ht="15.75" customHeight="1">
      <c r="D1260" s="15"/>
    </row>
    <row r="1261" ht="15.75" customHeight="1">
      <c r="D1261" s="15"/>
    </row>
    <row r="1262" ht="15.75" customHeight="1">
      <c r="D1262" s="15"/>
    </row>
    <row r="1263" ht="15.75" customHeight="1">
      <c r="D1263" s="15"/>
    </row>
    <row r="1264" ht="15.75" customHeight="1">
      <c r="D1264" s="15"/>
    </row>
    <row r="1265" ht="15.75" customHeight="1">
      <c r="D1265" s="15"/>
    </row>
    <row r="1266" ht="15.75" customHeight="1">
      <c r="D1266" s="15"/>
    </row>
    <row r="1267" ht="15.75" customHeight="1">
      <c r="D1267" s="15"/>
    </row>
    <row r="1268" ht="15.75" customHeight="1">
      <c r="D1268" s="15"/>
    </row>
    <row r="1269" ht="15.75" customHeight="1">
      <c r="D1269" s="15"/>
    </row>
    <row r="1270" ht="15.75" customHeight="1">
      <c r="D1270" s="15"/>
    </row>
    <row r="1271" ht="15.75" customHeight="1">
      <c r="D1271" s="15"/>
    </row>
    <row r="1272" ht="15.75" customHeight="1">
      <c r="D1272" s="15"/>
    </row>
    <row r="1273" ht="15.75" customHeight="1">
      <c r="D1273" s="15"/>
    </row>
    <row r="1274" ht="15.75" customHeight="1">
      <c r="D1274" s="15"/>
    </row>
    <row r="1275" ht="15.75" customHeight="1">
      <c r="D1275" s="15"/>
    </row>
    <row r="1276" ht="15.75" customHeight="1">
      <c r="D1276" s="15"/>
    </row>
    <row r="1277" ht="15.75" customHeight="1">
      <c r="D1277" s="15"/>
    </row>
    <row r="1278" ht="15.75" customHeight="1">
      <c r="D1278" s="15"/>
    </row>
    <row r="1279" ht="15.75" customHeight="1">
      <c r="D1279" s="15"/>
    </row>
    <row r="1280" ht="15.75" customHeight="1">
      <c r="D1280" s="15"/>
    </row>
    <row r="1281" ht="15.75" customHeight="1">
      <c r="D1281" s="15"/>
    </row>
    <row r="1282" ht="15.75" customHeight="1">
      <c r="D1282" s="15"/>
    </row>
    <row r="1283" ht="15.75" customHeight="1">
      <c r="D1283" s="15"/>
    </row>
    <row r="1284" ht="15.75" customHeight="1">
      <c r="D1284" s="15"/>
    </row>
    <row r="1285" ht="15.75" customHeight="1">
      <c r="D1285" s="15"/>
    </row>
    <row r="1286" ht="15.75" customHeight="1">
      <c r="D1286" s="15"/>
    </row>
    <row r="1287" ht="15.75" customHeight="1">
      <c r="D1287" s="15"/>
    </row>
    <row r="1288" ht="15.75" customHeight="1">
      <c r="D1288" s="15"/>
    </row>
    <row r="1289" ht="15.75" customHeight="1">
      <c r="D1289" s="15"/>
    </row>
    <row r="1290" ht="15.75" customHeight="1">
      <c r="D1290" s="15"/>
    </row>
    <row r="1291" ht="15.75" customHeight="1">
      <c r="D1291" s="15"/>
    </row>
    <row r="1292" ht="15.75" customHeight="1">
      <c r="D1292" s="15"/>
    </row>
    <row r="1293" ht="15.75" customHeight="1">
      <c r="D1293" s="15"/>
    </row>
    <row r="1294" ht="15.75" customHeight="1">
      <c r="D1294" s="15"/>
    </row>
    <row r="1295" ht="15.75" customHeight="1">
      <c r="D1295" s="15"/>
    </row>
    <row r="1296" ht="15.75" customHeight="1">
      <c r="D1296" s="15"/>
    </row>
    <row r="1297" ht="15.75" customHeight="1">
      <c r="D1297" s="15"/>
    </row>
    <row r="1298" ht="15.75" customHeight="1">
      <c r="D1298" s="15"/>
    </row>
    <row r="1299" ht="15.75" customHeight="1">
      <c r="D1299" s="15"/>
    </row>
    <row r="1300" ht="15.75" customHeight="1">
      <c r="D1300" s="15"/>
    </row>
    <row r="1301" ht="15.75" customHeight="1">
      <c r="D1301" s="15"/>
    </row>
    <row r="1302" ht="15.75" customHeight="1">
      <c r="D1302" s="15"/>
    </row>
    <row r="1303" ht="15.75" customHeight="1">
      <c r="D1303" s="15"/>
    </row>
    <row r="1304" ht="15.75" customHeight="1">
      <c r="D1304" s="15"/>
    </row>
    <row r="1305" ht="15.75" customHeight="1">
      <c r="D1305" s="15"/>
    </row>
    <row r="1306" ht="15.75" customHeight="1">
      <c r="D1306" s="15"/>
    </row>
    <row r="1307" ht="15.75" customHeight="1">
      <c r="D1307" s="15"/>
    </row>
    <row r="1308" ht="15.75" customHeight="1">
      <c r="D1308" s="15"/>
    </row>
    <row r="1309" ht="15.75" customHeight="1">
      <c r="D1309" s="15"/>
    </row>
    <row r="1310" ht="15.75" customHeight="1">
      <c r="D1310" s="15"/>
    </row>
    <row r="1311" ht="15.75" customHeight="1">
      <c r="D1311" s="15"/>
    </row>
    <row r="1312" ht="15.75" customHeight="1">
      <c r="D1312" s="15"/>
    </row>
    <row r="1313" ht="15.75" customHeight="1">
      <c r="D1313" s="15"/>
    </row>
    <row r="1314" ht="15.75" customHeight="1">
      <c r="D1314" s="15"/>
    </row>
    <row r="1315" ht="15.75" customHeight="1">
      <c r="D1315" s="15"/>
    </row>
    <row r="1316" ht="15.75" customHeight="1">
      <c r="D1316" s="15"/>
    </row>
    <row r="1317" ht="15.75" customHeight="1">
      <c r="D1317" s="15"/>
    </row>
    <row r="1318" ht="15.75" customHeight="1">
      <c r="D1318" s="15"/>
    </row>
    <row r="1319" ht="15.75" customHeight="1">
      <c r="D1319" s="15"/>
    </row>
    <row r="1320" ht="15.75" customHeight="1">
      <c r="D1320" s="15"/>
    </row>
    <row r="1321" ht="15.75" customHeight="1">
      <c r="D1321" s="15"/>
    </row>
    <row r="1322" ht="15.75" customHeight="1">
      <c r="D1322" s="15"/>
    </row>
    <row r="1323" ht="15.75" customHeight="1">
      <c r="D1323" s="15"/>
    </row>
    <row r="1324" ht="15.75" customHeight="1">
      <c r="D1324" s="15"/>
    </row>
    <row r="1325" ht="15.75" customHeight="1">
      <c r="D1325" s="15"/>
    </row>
    <row r="1326" ht="15.75" customHeight="1">
      <c r="D1326" s="15"/>
    </row>
    <row r="1327" ht="15.75" customHeight="1">
      <c r="D1327" s="15"/>
    </row>
    <row r="1328" ht="15.75" customHeight="1">
      <c r="D1328" s="15"/>
    </row>
    <row r="1329" ht="15.75" customHeight="1">
      <c r="D1329" s="15"/>
    </row>
    <row r="1330" ht="15.75" customHeight="1">
      <c r="D1330" s="15"/>
    </row>
    <row r="1331" ht="15.75" customHeight="1">
      <c r="D1331" s="15"/>
    </row>
    <row r="1332" ht="15.75" customHeight="1">
      <c r="D1332" s="15"/>
    </row>
    <row r="1333" ht="15.75" customHeight="1">
      <c r="D1333" s="15"/>
    </row>
    <row r="1334" ht="15.75" customHeight="1">
      <c r="D1334" s="15"/>
    </row>
    <row r="1335" ht="15.75" customHeight="1">
      <c r="D1335" s="15"/>
    </row>
    <row r="1336" ht="15.75" customHeight="1">
      <c r="D1336" s="15"/>
    </row>
    <row r="1337" ht="15.75" customHeight="1">
      <c r="D1337" s="15"/>
    </row>
    <row r="1338" ht="15.75" customHeight="1">
      <c r="D1338" s="15"/>
    </row>
    <row r="1339" ht="15.75" customHeight="1">
      <c r="D1339" s="15"/>
    </row>
    <row r="1340" ht="15.75" customHeight="1">
      <c r="D1340" s="15"/>
    </row>
    <row r="1341" ht="15.75" customHeight="1">
      <c r="D1341" s="15"/>
    </row>
    <row r="1342" ht="15.75" customHeight="1">
      <c r="D1342" s="15"/>
    </row>
    <row r="1343" ht="15.75" customHeight="1">
      <c r="D1343" s="15"/>
    </row>
    <row r="1344" ht="15.75" customHeight="1">
      <c r="D1344" s="15"/>
    </row>
    <row r="1345" ht="15.75" customHeight="1">
      <c r="D1345" s="15"/>
    </row>
    <row r="1346" ht="15.75" customHeight="1">
      <c r="D1346" s="15"/>
    </row>
    <row r="1347" ht="15.75" customHeight="1">
      <c r="D1347" s="15"/>
    </row>
    <row r="1348" ht="15.75" customHeight="1">
      <c r="D1348" s="15"/>
    </row>
    <row r="1349" ht="15.75" customHeight="1">
      <c r="D1349" s="15"/>
    </row>
    <row r="1350" ht="15.75" customHeight="1">
      <c r="D1350" s="15"/>
    </row>
    <row r="1351" ht="15.75" customHeight="1">
      <c r="D1351" s="15"/>
    </row>
    <row r="1352" ht="15.75" customHeight="1">
      <c r="D1352" s="15"/>
    </row>
    <row r="1353" ht="15.75" customHeight="1">
      <c r="D1353" s="15"/>
    </row>
    <row r="1354" ht="15.75" customHeight="1">
      <c r="D1354" s="15"/>
    </row>
    <row r="1355" ht="15.75" customHeight="1">
      <c r="D1355" s="15"/>
    </row>
    <row r="1356" ht="15.75" customHeight="1">
      <c r="D1356" s="15"/>
    </row>
    <row r="1357" ht="15.75" customHeight="1">
      <c r="D1357" s="15"/>
    </row>
    <row r="1358" ht="15.75" customHeight="1">
      <c r="D1358" s="15"/>
    </row>
    <row r="1359" ht="15.75" customHeight="1">
      <c r="D1359" s="15"/>
    </row>
    <row r="1360" ht="15.75" customHeight="1">
      <c r="D1360" s="15"/>
    </row>
    <row r="1361" ht="15.75" customHeight="1">
      <c r="D1361" s="15"/>
    </row>
    <row r="1362" ht="15.75" customHeight="1">
      <c r="D1362" s="15"/>
    </row>
    <row r="1363" ht="15.75" customHeight="1">
      <c r="D1363" s="15"/>
    </row>
    <row r="1364" ht="15.75" customHeight="1">
      <c r="D1364" s="15"/>
    </row>
    <row r="1365" ht="15.75" customHeight="1">
      <c r="D1365" s="15"/>
    </row>
    <row r="1366" ht="15.75" customHeight="1">
      <c r="D1366" s="15"/>
    </row>
    <row r="1367" ht="15.75" customHeight="1">
      <c r="D1367" s="15"/>
    </row>
    <row r="1368" ht="15.75" customHeight="1">
      <c r="D1368" s="15"/>
    </row>
    <row r="1369" ht="15.75" customHeight="1">
      <c r="D1369" s="15"/>
    </row>
    <row r="1370" ht="15.75" customHeight="1">
      <c r="D1370" s="15"/>
    </row>
    <row r="1371" ht="15.75" customHeight="1">
      <c r="D1371" s="15"/>
    </row>
    <row r="1372" ht="15.75" customHeight="1">
      <c r="D1372" s="15"/>
    </row>
    <row r="1373" ht="15.75" customHeight="1">
      <c r="D1373" s="15"/>
    </row>
    <row r="1374" ht="15.75" customHeight="1">
      <c r="D1374" s="15"/>
    </row>
    <row r="1375" ht="15.75" customHeight="1">
      <c r="D1375" s="15"/>
    </row>
    <row r="1376" ht="15.75" customHeight="1">
      <c r="D1376" s="15"/>
    </row>
    <row r="1377" ht="15.75" customHeight="1">
      <c r="D1377" s="15"/>
    </row>
    <row r="1378" ht="15.75" customHeight="1">
      <c r="D1378" s="15"/>
    </row>
    <row r="1379" ht="15.75" customHeight="1">
      <c r="D1379" s="15"/>
    </row>
    <row r="1380" ht="15.75" customHeight="1">
      <c r="D1380" s="15"/>
    </row>
    <row r="1381" ht="15.75" customHeight="1">
      <c r="D1381" s="15"/>
    </row>
    <row r="1382" ht="15.75" customHeight="1">
      <c r="D1382" s="15"/>
    </row>
    <row r="1383" ht="15.75" customHeight="1">
      <c r="D1383" s="15"/>
    </row>
    <row r="1384" ht="15.75" customHeight="1">
      <c r="D1384" s="15"/>
    </row>
    <row r="1385" ht="15.75" customHeight="1">
      <c r="D1385" s="15"/>
    </row>
    <row r="1386" ht="15.75" customHeight="1">
      <c r="D1386" s="15"/>
    </row>
    <row r="1387" ht="15.75" customHeight="1">
      <c r="D1387" s="15"/>
    </row>
    <row r="1388" ht="15.75" customHeight="1">
      <c r="D1388" s="15"/>
    </row>
    <row r="1389" ht="15.75" customHeight="1">
      <c r="D1389" s="15"/>
    </row>
    <row r="1390" ht="15.75" customHeight="1">
      <c r="D1390" s="15"/>
    </row>
    <row r="1391" ht="15.75" customHeight="1">
      <c r="D1391" s="15"/>
    </row>
    <row r="1392" ht="15.75" customHeight="1">
      <c r="D1392" s="15"/>
    </row>
    <row r="1393" ht="15.75" customHeight="1">
      <c r="D1393" s="15"/>
    </row>
    <row r="1394" ht="15.75" customHeight="1">
      <c r="D1394" s="15"/>
    </row>
    <row r="1395" ht="15.75" customHeight="1">
      <c r="D1395" s="15"/>
    </row>
    <row r="1396" ht="15.75" customHeight="1">
      <c r="D1396" s="15"/>
    </row>
    <row r="1397" ht="15.75" customHeight="1">
      <c r="D1397" s="15"/>
    </row>
    <row r="1398" ht="15.75" customHeight="1">
      <c r="D1398" s="15"/>
    </row>
    <row r="1399" ht="15.75" customHeight="1">
      <c r="D1399" s="15"/>
    </row>
    <row r="1400" ht="15.75" customHeight="1">
      <c r="D1400" s="15"/>
    </row>
    <row r="1401" ht="15.75" customHeight="1">
      <c r="D1401" s="15"/>
    </row>
    <row r="1402" ht="15.75" customHeight="1">
      <c r="D1402" s="15"/>
    </row>
    <row r="1403" ht="15.75" customHeight="1">
      <c r="D1403" s="15"/>
    </row>
    <row r="1404" ht="15.75" customHeight="1">
      <c r="D1404" s="15"/>
    </row>
    <row r="1405" ht="15.75" customHeight="1">
      <c r="D1405" s="15"/>
    </row>
    <row r="1406" ht="15.75" customHeight="1">
      <c r="D1406" s="15"/>
    </row>
    <row r="1407" ht="15.75" customHeight="1">
      <c r="D1407" s="15"/>
    </row>
    <row r="1408" ht="15.75" customHeight="1">
      <c r="D1408" s="15"/>
    </row>
    <row r="1409" ht="15.75" customHeight="1">
      <c r="D1409" s="15"/>
    </row>
    <row r="1410" ht="15.75" customHeight="1">
      <c r="D1410" s="15"/>
    </row>
    <row r="1411" ht="15.75" customHeight="1">
      <c r="D1411" s="15"/>
    </row>
    <row r="1412" ht="15.75" customHeight="1">
      <c r="D1412" s="15"/>
    </row>
    <row r="1413" ht="15.75" customHeight="1">
      <c r="D1413" s="15"/>
    </row>
    <row r="1414" ht="15.75" customHeight="1">
      <c r="D1414" s="15"/>
    </row>
    <row r="1415" ht="15.75" customHeight="1">
      <c r="D1415" s="15"/>
    </row>
    <row r="1416" ht="15.75" customHeight="1">
      <c r="D1416" s="15"/>
    </row>
    <row r="1417" ht="15.75" customHeight="1">
      <c r="D1417" s="15"/>
    </row>
    <row r="1418" ht="15.75" customHeight="1">
      <c r="D1418" s="15"/>
    </row>
    <row r="1419" ht="15.75" customHeight="1">
      <c r="D1419" s="15"/>
    </row>
    <row r="1420" ht="15.75" customHeight="1">
      <c r="D1420" s="15"/>
    </row>
    <row r="1421" ht="15.75" customHeight="1">
      <c r="D1421" s="15"/>
    </row>
    <row r="1422" ht="15.75" customHeight="1">
      <c r="D1422" s="15"/>
    </row>
    <row r="1423" ht="15.75" customHeight="1">
      <c r="D1423" s="15"/>
    </row>
    <row r="1424" ht="15.75" customHeight="1">
      <c r="D1424" s="15"/>
    </row>
    <row r="1425" ht="15.75" customHeight="1">
      <c r="D1425" s="15"/>
    </row>
    <row r="1426" ht="15.75" customHeight="1">
      <c r="D1426" s="15"/>
    </row>
    <row r="1427" ht="15.75" customHeight="1">
      <c r="D1427" s="15"/>
    </row>
    <row r="1428" ht="15.75" customHeight="1">
      <c r="D1428" s="15"/>
    </row>
    <row r="1429" ht="15.75" customHeight="1">
      <c r="D1429" s="15"/>
    </row>
    <row r="1430" ht="15.75" customHeight="1">
      <c r="D1430" s="15"/>
    </row>
    <row r="1431" ht="15.75" customHeight="1">
      <c r="D1431" s="15"/>
    </row>
    <row r="1432" ht="15.75" customHeight="1">
      <c r="D1432" s="15"/>
    </row>
    <row r="1433" ht="15.75" customHeight="1">
      <c r="D1433" s="15"/>
    </row>
    <row r="1434" ht="15.75" customHeight="1">
      <c r="D1434" s="15"/>
    </row>
    <row r="1435" ht="15.75" customHeight="1">
      <c r="D1435" s="15"/>
    </row>
    <row r="1436" ht="15.75" customHeight="1">
      <c r="D1436" s="15"/>
    </row>
    <row r="1437" ht="15.75" customHeight="1">
      <c r="D1437" s="15"/>
    </row>
    <row r="1438" ht="15.75" customHeight="1">
      <c r="D1438" s="15"/>
    </row>
    <row r="1439" ht="15.75" customHeight="1">
      <c r="D1439" s="15"/>
    </row>
    <row r="1440" ht="15.75" customHeight="1">
      <c r="D1440" s="15"/>
    </row>
    <row r="1441" ht="15.75" customHeight="1">
      <c r="D1441" s="15"/>
    </row>
    <row r="1442" ht="15.75" customHeight="1">
      <c r="D1442" s="15"/>
    </row>
    <row r="1443" ht="15.75" customHeight="1">
      <c r="D1443" s="15"/>
    </row>
    <row r="1444" ht="15.75" customHeight="1">
      <c r="D1444" s="15"/>
    </row>
    <row r="1445" ht="15.75" customHeight="1">
      <c r="D1445" s="15"/>
    </row>
    <row r="1446" ht="15.75" customHeight="1">
      <c r="D1446" s="15"/>
    </row>
    <row r="1447" ht="15.75" customHeight="1">
      <c r="D1447" s="15"/>
    </row>
    <row r="1448" ht="15.75" customHeight="1">
      <c r="D1448" s="15"/>
    </row>
    <row r="1449" ht="15.75" customHeight="1">
      <c r="D1449" s="15"/>
    </row>
    <row r="1450" ht="15.75" customHeight="1">
      <c r="D1450" s="15"/>
    </row>
    <row r="1451" ht="15.75" customHeight="1">
      <c r="D1451" s="15"/>
    </row>
    <row r="1452" ht="15.75" customHeight="1">
      <c r="D1452" s="15"/>
    </row>
    <row r="1453" ht="15.75" customHeight="1">
      <c r="D1453" s="15"/>
    </row>
    <row r="1454" ht="15.75" customHeight="1">
      <c r="D1454" s="15"/>
    </row>
    <row r="1455" ht="15.75" customHeight="1">
      <c r="D1455" s="15"/>
    </row>
    <row r="1456" ht="15.75" customHeight="1">
      <c r="D1456" s="15"/>
    </row>
    <row r="1457" ht="15.75" customHeight="1">
      <c r="D1457" s="15"/>
    </row>
    <row r="1458" ht="15.75" customHeight="1">
      <c r="D1458" s="15"/>
    </row>
    <row r="1459" ht="15.75" customHeight="1">
      <c r="D1459" s="15"/>
    </row>
    <row r="1460" ht="15.75" customHeight="1">
      <c r="D1460" s="15"/>
    </row>
    <row r="1461" ht="15.75" customHeight="1">
      <c r="D1461" s="15"/>
    </row>
    <row r="1462" ht="15.75" customHeight="1">
      <c r="D1462" s="15"/>
    </row>
    <row r="1463" ht="15.75" customHeight="1">
      <c r="D1463" s="15"/>
    </row>
    <row r="1464" ht="15.75" customHeight="1">
      <c r="D1464" s="15"/>
    </row>
    <row r="1465" ht="15.75" customHeight="1">
      <c r="D1465" s="15"/>
    </row>
    <row r="1466" ht="15.75" customHeight="1">
      <c r="D1466" s="15"/>
    </row>
    <row r="1467" ht="15.75" customHeight="1">
      <c r="D1467" s="15"/>
    </row>
    <row r="1468" ht="15.75" customHeight="1">
      <c r="D1468" s="15"/>
    </row>
    <row r="1469" ht="15.75" customHeight="1">
      <c r="D1469" s="15"/>
    </row>
    <row r="1470" ht="15.75" customHeight="1">
      <c r="D1470" s="15"/>
    </row>
    <row r="1471" ht="15.75" customHeight="1">
      <c r="D1471" s="15"/>
    </row>
    <row r="1472" ht="15.75" customHeight="1">
      <c r="D1472" s="15"/>
    </row>
    <row r="1473" ht="15.75" customHeight="1">
      <c r="D1473" s="15"/>
    </row>
    <row r="1474" ht="15.75" customHeight="1">
      <c r="D1474" s="15"/>
    </row>
    <row r="1475" ht="15.75" customHeight="1">
      <c r="D1475" s="15"/>
    </row>
    <row r="1476" ht="15.75" customHeight="1">
      <c r="D1476" s="15"/>
    </row>
    <row r="1477" ht="15.75" customHeight="1">
      <c r="D1477" s="15"/>
    </row>
    <row r="1478" ht="15.75" customHeight="1">
      <c r="D1478" s="15"/>
    </row>
    <row r="1479" ht="15.75" customHeight="1">
      <c r="D1479" s="15"/>
    </row>
    <row r="1480" ht="15.75" customHeight="1">
      <c r="D1480" s="15"/>
    </row>
    <row r="1481" ht="15.75" customHeight="1">
      <c r="D1481" s="15"/>
    </row>
    <row r="1482" ht="15.75" customHeight="1">
      <c r="D1482" s="15"/>
    </row>
    <row r="1483" ht="15.75" customHeight="1">
      <c r="D1483" s="15"/>
    </row>
    <row r="1484" ht="15.75" customHeight="1">
      <c r="D1484" s="15"/>
    </row>
    <row r="1485" ht="15.75" customHeight="1">
      <c r="D1485" s="15"/>
    </row>
    <row r="1486" ht="15.75" customHeight="1">
      <c r="D1486" s="15"/>
    </row>
    <row r="1487" ht="15.75" customHeight="1">
      <c r="D1487" s="15"/>
    </row>
    <row r="1488" ht="15.75" customHeight="1">
      <c r="D1488" s="15"/>
    </row>
    <row r="1489" ht="15.75" customHeight="1">
      <c r="D1489" s="15"/>
    </row>
    <row r="1490" ht="15.75" customHeight="1">
      <c r="D1490" s="15"/>
    </row>
    <row r="1491" ht="15.75" customHeight="1">
      <c r="D1491" s="15"/>
    </row>
    <row r="1492" ht="15.75" customHeight="1">
      <c r="D1492" s="15"/>
    </row>
    <row r="1493" ht="15.75" customHeight="1">
      <c r="D1493" s="15"/>
    </row>
    <row r="1494" ht="15.75" customHeight="1">
      <c r="D1494" s="15"/>
    </row>
    <row r="1495" ht="15.75" customHeight="1">
      <c r="D1495" s="15"/>
    </row>
    <row r="1496" ht="15.75" customHeight="1">
      <c r="D1496" s="15"/>
    </row>
    <row r="1497" ht="15.75" customHeight="1">
      <c r="D1497" s="15"/>
    </row>
    <row r="1498" ht="15.75" customHeight="1">
      <c r="D1498" s="15"/>
    </row>
    <row r="1499" ht="15.75" customHeight="1">
      <c r="D1499" s="15"/>
    </row>
    <row r="1500" ht="15.75" customHeight="1">
      <c r="D1500" s="15"/>
    </row>
    <row r="1501" ht="15.75" customHeight="1">
      <c r="D1501" s="15"/>
    </row>
    <row r="1502" ht="15.75" customHeight="1">
      <c r="D1502" s="15"/>
    </row>
    <row r="1503" ht="15.75" customHeight="1">
      <c r="D1503" s="15"/>
    </row>
    <row r="1504" ht="15.75" customHeight="1">
      <c r="D1504" s="15"/>
    </row>
    <row r="1505" ht="15.75" customHeight="1">
      <c r="D1505" s="15"/>
    </row>
    <row r="1506" ht="15.75" customHeight="1">
      <c r="D1506" s="15"/>
    </row>
    <row r="1507" ht="15.75" customHeight="1">
      <c r="D1507" s="15"/>
    </row>
    <row r="1508" ht="15.75" customHeight="1">
      <c r="D1508" s="15"/>
    </row>
    <row r="1509" ht="15.75" customHeight="1">
      <c r="D1509" s="15"/>
    </row>
    <row r="1510" ht="15.75" customHeight="1">
      <c r="D1510" s="15"/>
    </row>
    <row r="1511" ht="15.75" customHeight="1">
      <c r="D1511" s="15"/>
    </row>
    <row r="1512" ht="15.75" customHeight="1">
      <c r="D1512" s="15"/>
    </row>
    <row r="1513" ht="15.75" customHeight="1">
      <c r="D1513" s="15"/>
    </row>
    <row r="1514" ht="15.75" customHeight="1">
      <c r="D1514" s="15"/>
    </row>
    <row r="1515" ht="15.75" customHeight="1">
      <c r="D1515" s="15"/>
    </row>
    <row r="1516" ht="15.75" customHeight="1">
      <c r="D1516" s="15"/>
    </row>
    <row r="1517" ht="15.75" customHeight="1">
      <c r="D1517" s="15"/>
    </row>
    <row r="1518" ht="15.75" customHeight="1">
      <c r="D1518" s="15"/>
    </row>
    <row r="1519" ht="15.75" customHeight="1">
      <c r="D1519" s="15"/>
    </row>
    <row r="1520" ht="15.75" customHeight="1">
      <c r="D1520" s="15"/>
    </row>
    <row r="1521" ht="15.75" customHeight="1">
      <c r="D1521" s="15"/>
    </row>
    <row r="1522" ht="15.75" customHeight="1">
      <c r="D1522" s="15"/>
    </row>
    <row r="1523" ht="15.75" customHeight="1">
      <c r="D1523" s="15"/>
    </row>
    <row r="1524" ht="15.75" customHeight="1">
      <c r="D1524" s="15"/>
    </row>
    <row r="1525" ht="15.75" customHeight="1">
      <c r="D1525" s="15"/>
    </row>
    <row r="1526" ht="15.75" customHeight="1">
      <c r="D1526" s="15"/>
    </row>
    <row r="1527" ht="15.75" customHeight="1">
      <c r="D1527" s="15"/>
    </row>
    <row r="1528" ht="15.75" customHeight="1">
      <c r="D1528" s="15"/>
    </row>
    <row r="1529" ht="15.75" customHeight="1">
      <c r="D1529" s="15"/>
    </row>
    <row r="1530" ht="15.75" customHeight="1">
      <c r="D1530" s="15"/>
    </row>
    <row r="1531" ht="15.75" customHeight="1">
      <c r="D1531" s="15"/>
    </row>
    <row r="1532" ht="15.75" customHeight="1">
      <c r="D1532" s="15"/>
    </row>
    <row r="1533" ht="15.75" customHeight="1">
      <c r="D1533" s="15"/>
    </row>
    <row r="1534" ht="15.75" customHeight="1">
      <c r="D1534" s="15"/>
    </row>
    <row r="1535" ht="15.75" customHeight="1">
      <c r="D1535" s="15"/>
    </row>
    <row r="1536" ht="15.75" customHeight="1">
      <c r="D1536" s="15"/>
    </row>
    <row r="1537" ht="15.75" customHeight="1">
      <c r="D1537" s="15"/>
    </row>
    <row r="1538" ht="15.75" customHeight="1">
      <c r="D1538" s="15"/>
    </row>
    <row r="1539" ht="15.75" customHeight="1">
      <c r="D1539" s="15"/>
    </row>
    <row r="1540" ht="15.75" customHeight="1">
      <c r="D1540" s="15"/>
    </row>
    <row r="1541" ht="15.75" customHeight="1">
      <c r="D1541" s="15"/>
    </row>
    <row r="1542" ht="15.75" customHeight="1">
      <c r="D1542" s="15"/>
    </row>
    <row r="1543" ht="15.75" customHeight="1">
      <c r="D1543" s="15"/>
    </row>
    <row r="1544" ht="15.75" customHeight="1">
      <c r="D1544" s="15"/>
    </row>
    <row r="1545" ht="15.75" customHeight="1">
      <c r="D1545" s="15"/>
    </row>
    <row r="1546" ht="15.75" customHeight="1">
      <c r="D1546" s="15"/>
    </row>
    <row r="1547" ht="15.75" customHeight="1">
      <c r="D1547" s="15"/>
    </row>
    <row r="1548" ht="15.75" customHeight="1">
      <c r="D1548" s="15"/>
    </row>
    <row r="1549" ht="15.75" customHeight="1">
      <c r="D1549" s="15"/>
    </row>
    <row r="1550" ht="15.75" customHeight="1">
      <c r="D1550" s="15"/>
    </row>
    <row r="1551" ht="15.75" customHeight="1">
      <c r="D1551" s="15"/>
    </row>
    <row r="1552" ht="15.75" customHeight="1">
      <c r="D1552" s="15"/>
    </row>
    <row r="1553" ht="15.75" customHeight="1">
      <c r="D1553" s="15"/>
    </row>
    <row r="1554" ht="15.75" customHeight="1">
      <c r="D1554" s="15"/>
    </row>
    <row r="1555" ht="15.75" customHeight="1">
      <c r="D1555" s="15"/>
    </row>
    <row r="1556" ht="15.75" customHeight="1">
      <c r="D1556" s="15"/>
    </row>
    <row r="1557" ht="15.75" customHeight="1">
      <c r="D1557" s="15"/>
    </row>
    <row r="1558" ht="15.75" customHeight="1">
      <c r="D1558" s="15"/>
    </row>
    <row r="1559" ht="15.75" customHeight="1">
      <c r="D1559" s="15"/>
    </row>
    <row r="1560" ht="15.75" customHeight="1">
      <c r="D1560" s="15"/>
    </row>
    <row r="1561" ht="15.75" customHeight="1">
      <c r="D1561" s="15"/>
    </row>
    <row r="1562" ht="15.75" customHeight="1">
      <c r="D1562" s="15"/>
    </row>
    <row r="1563" ht="15.75" customHeight="1">
      <c r="D1563" s="15"/>
    </row>
    <row r="1564" ht="15.75" customHeight="1">
      <c r="D1564" s="15"/>
    </row>
    <row r="1565" ht="15.75" customHeight="1">
      <c r="D1565" s="15"/>
    </row>
    <row r="1566" ht="15.75" customHeight="1">
      <c r="D1566" s="15"/>
    </row>
    <row r="1567" ht="15.75" customHeight="1">
      <c r="D1567" s="15"/>
    </row>
    <row r="1568" ht="15.75" customHeight="1">
      <c r="D1568" s="15"/>
    </row>
    <row r="1569" ht="15.75" customHeight="1">
      <c r="D1569" s="15"/>
    </row>
    <row r="1570" ht="15.75" customHeight="1">
      <c r="D1570" s="15"/>
    </row>
    <row r="1571" ht="15.75" customHeight="1">
      <c r="D1571" s="15"/>
    </row>
    <row r="1572" ht="15.75" customHeight="1">
      <c r="D1572" s="15"/>
    </row>
    <row r="1573" ht="15.75" customHeight="1">
      <c r="D1573" s="15"/>
    </row>
    <row r="1574" ht="15.75" customHeight="1">
      <c r="D1574" s="15"/>
    </row>
    <row r="1575" ht="15.75" customHeight="1">
      <c r="D1575" s="15"/>
    </row>
    <row r="1576" ht="15.75" customHeight="1">
      <c r="D1576" s="15"/>
    </row>
    <row r="1577" ht="15.75" customHeight="1">
      <c r="D1577" s="15"/>
    </row>
    <row r="1578" ht="15.75" customHeight="1">
      <c r="D1578" s="15"/>
    </row>
    <row r="1579" ht="15.75" customHeight="1">
      <c r="D1579" s="15"/>
    </row>
    <row r="1580" ht="15.75" customHeight="1">
      <c r="D1580" s="15"/>
    </row>
    <row r="1581" ht="15.75" customHeight="1">
      <c r="D1581" s="15"/>
    </row>
    <row r="1582" ht="15.75" customHeight="1">
      <c r="D1582" s="15"/>
    </row>
    <row r="1583" ht="15.75" customHeight="1">
      <c r="D1583" s="15"/>
    </row>
    <row r="1584" ht="15.75" customHeight="1">
      <c r="D1584" s="15"/>
    </row>
    <row r="1585" ht="15.75" customHeight="1">
      <c r="D1585" s="15"/>
    </row>
    <row r="1586" ht="15.75" customHeight="1">
      <c r="D1586" s="15"/>
    </row>
    <row r="1587" ht="15.75" customHeight="1">
      <c r="D1587" s="15"/>
    </row>
    <row r="1588" ht="15.75" customHeight="1">
      <c r="D1588" s="15"/>
    </row>
    <row r="1589" ht="15.75" customHeight="1">
      <c r="D1589" s="15"/>
    </row>
    <row r="1590" ht="15.75" customHeight="1">
      <c r="D1590" s="15"/>
    </row>
    <row r="1591" ht="15.75" customHeight="1">
      <c r="D1591" s="15"/>
    </row>
    <row r="1592" ht="15.75" customHeight="1">
      <c r="D1592" s="15"/>
    </row>
    <row r="1593" ht="15.75" customHeight="1">
      <c r="D1593" s="15"/>
    </row>
    <row r="1594" ht="15.75" customHeight="1">
      <c r="D1594" s="15"/>
    </row>
    <row r="1595" ht="15.75" customHeight="1">
      <c r="D1595" s="15"/>
    </row>
    <row r="1596" ht="15.75" customHeight="1">
      <c r="D1596" s="15"/>
    </row>
    <row r="1597" ht="15.75" customHeight="1">
      <c r="D1597" s="15"/>
    </row>
    <row r="1598" ht="15.75" customHeight="1">
      <c r="D1598" s="15"/>
    </row>
    <row r="1599" ht="15.75" customHeight="1">
      <c r="D1599" s="15"/>
    </row>
    <row r="1600" ht="15.75" customHeight="1">
      <c r="D1600" s="15"/>
    </row>
    <row r="1601" ht="15.75" customHeight="1">
      <c r="D1601" s="15"/>
    </row>
    <row r="1602" ht="15.75" customHeight="1">
      <c r="D1602" s="15"/>
    </row>
    <row r="1603" ht="15.75" customHeight="1">
      <c r="D1603" s="15"/>
    </row>
    <row r="1604" ht="15.75" customHeight="1">
      <c r="D1604" s="15"/>
    </row>
    <row r="1605" ht="15.75" customHeight="1">
      <c r="D1605" s="15"/>
    </row>
    <row r="1606" ht="15.75" customHeight="1">
      <c r="D1606" s="15"/>
    </row>
    <row r="1607" ht="15.75" customHeight="1">
      <c r="D1607" s="15"/>
    </row>
    <row r="1608" ht="15.75" customHeight="1">
      <c r="D1608" s="15"/>
    </row>
    <row r="1609" ht="15.75" customHeight="1">
      <c r="D1609" s="15"/>
    </row>
    <row r="1610" ht="15.75" customHeight="1">
      <c r="D1610" s="15"/>
    </row>
    <row r="1611" ht="15.75" customHeight="1">
      <c r="D1611" s="15"/>
    </row>
    <row r="1612" ht="15.75" customHeight="1">
      <c r="D1612" s="15"/>
    </row>
    <row r="1613" ht="15.75" customHeight="1">
      <c r="D1613" s="15"/>
    </row>
    <row r="1614" ht="15.75" customHeight="1">
      <c r="D1614" s="15"/>
    </row>
    <row r="1615" ht="15.75" customHeight="1">
      <c r="D1615" s="15"/>
    </row>
    <row r="1616" ht="15.75" customHeight="1">
      <c r="D1616" s="15"/>
    </row>
    <row r="1617" ht="15.75" customHeight="1">
      <c r="D1617" s="15"/>
    </row>
    <row r="1618" ht="15.75" customHeight="1">
      <c r="D1618" s="15"/>
    </row>
    <row r="1619" ht="15.75" customHeight="1">
      <c r="D1619" s="15"/>
    </row>
    <row r="1620" ht="15.75" customHeight="1">
      <c r="D1620" s="15"/>
    </row>
    <row r="1621" ht="15.75" customHeight="1">
      <c r="D1621" s="15"/>
    </row>
    <row r="1622" ht="15.75" customHeight="1">
      <c r="D1622" s="15"/>
    </row>
    <row r="1623" ht="15.75" customHeight="1">
      <c r="D1623" s="15"/>
    </row>
    <row r="1624" ht="15.75" customHeight="1">
      <c r="D1624" s="15"/>
    </row>
    <row r="1625" ht="15.75" customHeight="1">
      <c r="D1625" s="15"/>
    </row>
    <row r="1626" ht="15.75" customHeight="1">
      <c r="D1626" s="15"/>
    </row>
    <row r="1627" ht="15.75" customHeight="1">
      <c r="D1627" s="15"/>
    </row>
    <row r="1628" ht="15.75" customHeight="1">
      <c r="D1628" s="15"/>
    </row>
    <row r="1629" ht="15.75" customHeight="1">
      <c r="D1629" s="15"/>
    </row>
    <row r="1630" ht="15.75" customHeight="1">
      <c r="D1630" s="15"/>
    </row>
    <row r="1631" ht="15.75" customHeight="1">
      <c r="D1631" s="15"/>
    </row>
    <row r="1632" ht="15.75" customHeight="1">
      <c r="D1632" s="15"/>
    </row>
    <row r="1633" ht="15.75" customHeight="1">
      <c r="D1633" s="15"/>
    </row>
    <row r="1634" ht="15.75" customHeight="1">
      <c r="D1634" s="15"/>
    </row>
    <row r="1635" ht="15.75" customHeight="1">
      <c r="D1635" s="15"/>
    </row>
    <row r="1636" ht="15.75" customHeight="1">
      <c r="D1636" s="15"/>
    </row>
    <row r="1637" ht="15.75" customHeight="1">
      <c r="D1637" s="15"/>
    </row>
    <row r="1638" ht="15.75" customHeight="1">
      <c r="D1638" s="15"/>
    </row>
    <row r="1639" ht="15.75" customHeight="1">
      <c r="D1639" s="15"/>
    </row>
    <row r="1640" ht="15.75" customHeight="1">
      <c r="D1640" s="15"/>
    </row>
    <row r="1641" ht="15.75" customHeight="1">
      <c r="D1641" s="15"/>
    </row>
    <row r="1642" ht="15.75" customHeight="1">
      <c r="D1642" s="15"/>
    </row>
    <row r="1643" ht="15.75" customHeight="1">
      <c r="D1643" s="15"/>
    </row>
    <row r="1644" ht="15.75" customHeight="1">
      <c r="D1644" s="15"/>
    </row>
    <row r="1645" ht="15.75" customHeight="1">
      <c r="D1645" s="15"/>
    </row>
    <row r="1646" ht="15.75" customHeight="1">
      <c r="D1646" s="15"/>
    </row>
    <row r="1647" ht="15.75" customHeight="1">
      <c r="D1647" s="15"/>
    </row>
    <row r="1648" ht="15.75" customHeight="1">
      <c r="D1648" s="15"/>
    </row>
    <row r="1649" ht="15.75" customHeight="1">
      <c r="D1649" s="15"/>
    </row>
    <row r="1650" ht="15.75" customHeight="1">
      <c r="D1650" s="15"/>
    </row>
    <row r="1651" ht="15.75" customHeight="1">
      <c r="D1651" s="15"/>
    </row>
    <row r="1652" ht="15.75" customHeight="1">
      <c r="D1652" s="15"/>
    </row>
    <row r="1653" ht="15.75" customHeight="1">
      <c r="D1653" s="15"/>
    </row>
    <row r="1654" ht="15.75" customHeight="1">
      <c r="D1654" s="15"/>
    </row>
    <row r="1655" ht="15.75" customHeight="1">
      <c r="D1655" s="15"/>
    </row>
    <row r="1656" ht="15.75" customHeight="1">
      <c r="D1656" s="15"/>
    </row>
    <row r="1657" ht="15.75" customHeight="1">
      <c r="D1657" s="15"/>
    </row>
    <row r="1658" ht="15.75" customHeight="1">
      <c r="D1658" s="15"/>
    </row>
    <row r="1659" ht="15.75" customHeight="1">
      <c r="D1659" s="15"/>
    </row>
    <row r="1660" ht="15.75" customHeight="1">
      <c r="D1660" s="15"/>
    </row>
    <row r="1661" ht="15.75" customHeight="1">
      <c r="D1661" s="15"/>
    </row>
    <row r="1662" ht="15.75" customHeight="1">
      <c r="D1662" s="15"/>
    </row>
    <row r="1663" ht="15.75" customHeight="1">
      <c r="D1663" s="15"/>
    </row>
    <row r="1664" ht="15.75" customHeight="1">
      <c r="D1664" s="15"/>
    </row>
    <row r="1665" ht="15.75" customHeight="1">
      <c r="D1665" s="15"/>
    </row>
    <row r="1666" ht="15.75" customHeight="1">
      <c r="D1666" s="15"/>
    </row>
    <row r="1667" ht="15.75" customHeight="1">
      <c r="D1667" s="15"/>
    </row>
    <row r="1668" ht="15.75" customHeight="1">
      <c r="D1668" s="15"/>
    </row>
    <row r="1669" ht="15.75" customHeight="1">
      <c r="D1669" s="15"/>
    </row>
    <row r="1670" ht="15.75" customHeight="1">
      <c r="D1670" s="15"/>
    </row>
    <row r="1671" ht="15.75" customHeight="1">
      <c r="D1671" s="15"/>
    </row>
    <row r="1672" ht="15.75" customHeight="1">
      <c r="D1672" s="15"/>
    </row>
    <row r="1673" ht="15.75" customHeight="1">
      <c r="D1673" s="15"/>
    </row>
    <row r="1674" ht="15.75" customHeight="1">
      <c r="D1674" s="15"/>
    </row>
    <row r="1675" ht="15.75" customHeight="1">
      <c r="D1675" s="15"/>
    </row>
    <row r="1676" ht="15.75" customHeight="1">
      <c r="D1676" s="15"/>
    </row>
    <row r="1677" ht="15.75" customHeight="1">
      <c r="D1677" s="15"/>
    </row>
    <row r="1678" ht="15.75" customHeight="1">
      <c r="D1678" s="15"/>
    </row>
    <row r="1679" ht="15.75" customHeight="1">
      <c r="D1679" s="15"/>
    </row>
    <row r="1680" ht="15.75" customHeight="1">
      <c r="D1680" s="15"/>
    </row>
    <row r="1681" ht="15.75" customHeight="1">
      <c r="D1681" s="15"/>
    </row>
    <row r="1682" ht="15.75" customHeight="1">
      <c r="D1682" s="15"/>
    </row>
    <row r="1683" ht="15.75" customHeight="1">
      <c r="D1683" s="15"/>
    </row>
    <row r="1684" ht="15.75" customHeight="1">
      <c r="D1684" s="15"/>
    </row>
    <row r="1685" ht="15.75" customHeight="1">
      <c r="D1685" s="15"/>
    </row>
    <row r="1686" ht="15.75" customHeight="1">
      <c r="D1686" s="15"/>
    </row>
    <row r="1687" ht="15.75" customHeight="1">
      <c r="D1687" s="15"/>
    </row>
    <row r="1688" ht="15.75" customHeight="1">
      <c r="D1688" s="15"/>
    </row>
    <row r="1689" ht="15.75" customHeight="1">
      <c r="D1689" s="15"/>
    </row>
    <row r="1690" ht="15.75" customHeight="1">
      <c r="D1690" s="15"/>
    </row>
    <row r="1691" ht="15.75" customHeight="1">
      <c r="D1691" s="15"/>
    </row>
    <row r="1692" ht="15.75" customHeight="1">
      <c r="D1692" s="15"/>
    </row>
    <row r="1693" ht="15.75" customHeight="1">
      <c r="D1693" s="15"/>
    </row>
    <row r="1694" ht="15.75" customHeight="1">
      <c r="D1694" s="15"/>
    </row>
    <row r="1695" ht="15.75" customHeight="1">
      <c r="D1695" s="15"/>
    </row>
    <row r="1696" ht="15.75" customHeight="1">
      <c r="D1696" s="15"/>
    </row>
    <row r="1697" ht="15.75" customHeight="1">
      <c r="D1697" s="15"/>
    </row>
    <row r="1698" ht="15.75" customHeight="1">
      <c r="D1698" s="15"/>
    </row>
    <row r="1699" ht="15.75" customHeight="1">
      <c r="D1699" s="15"/>
    </row>
    <row r="1700" ht="15.75" customHeight="1">
      <c r="D1700" s="15"/>
    </row>
    <row r="1701" ht="15.75" customHeight="1">
      <c r="D1701" s="15"/>
    </row>
    <row r="1702" ht="15.75" customHeight="1">
      <c r="D1702" s="15"/>
    </row>
    <row r="1703" ht="15.75" customHeight="1">
      <c r="D1703" s="15"/>
    </row>
    <row r="1704" ht="15.75" customHeight="1">
      <c r="D1704" s="15"/>
    </row>
    <row r="1705" ht="15.75" customHeight="1">
      <c r="D1705" s="15"/>
    </row>
    <row r="1706" ht="15.75" customHeight="1">
      <c r="D1706" s="15"/>
    </row>
    <row r="1707" ht="15.75" customHeight="1">
      <c r="D1707" s="15"/>
    </row>
    <row r="1708" ht="15.75" customHeight="1">
      <c r="D1708" s="15"/>
    </row>
    <row r="1709" ht="15.75" customHeight="1">
      <c r="D1709" s="15"/>
    </row>
    <row r="1710" ht="15.75" customHeight="1">
      <c r="D1710" s="15"/>
    </row>
    <row r="1711" ht="15.75" customHeight="1">
      <c r="D1711" s="15"/>
    </row>
    <row r="1712" ht="15.75" customHeight="1">
      <c r="D1712" s="15"/>
    </row>
    <row r="1713" ht="15.75" customHeight="1">
      <c r="D1713" s="15"/>
    </row>
    <row r="1714" ht="15.75" customHeight="1">
      <c r="D1714" s="15"/>
    </row>
    <row r="1715" ht="15.75" customHeight="1">
      <c r="D1715" s="15"/>
    </row>
    <row r="1716" ht="15.75" customHeight="1">
      <c r="D1716" s="15"/>
    </row>
    <row r="1717" ht="15.75" customHeight="1">
      <c r="D1717" s="15"/>
    </row>
    <row r="1718" ht="15.75" customHeight="1">
      <c r="D1718" s="15"/>
    </row>
    <row r="1719" ht="15.75" customHeight="1">
      <c r="D1719" s="15"/>
    </row>
    <row r="1720" ht="15.75" customHeight="1">
      <c r="D1720" s="15"/>
    </row>
    <row r="1721" ht="15.75" customHeight="1">
      <c r="D1721" s="15"/>
    </row>
    <row r="1722" ht="15.75" customHeight="1">
      <c r="D1722" s="15"/>
    </row>
    <row r="1723" ht="15.75" customHeight="1">
      <c r="D1723" s="15"/>
    </row>
    <row r="1724" ht="15.75" customHeight="1">
      <c r="D1724" s="15"/>
    </row>
    <row r="1725" ht="15.75" customHeight="1">
      <c r="D1725" s="15"/>
    </row>
    <row r="1726" ht="15.75" customHeight="1">
      <c r="D1726" s="15"/>
    </row>
    <row r="1727" ht="15.75" customHeight="1">
      <c r="D1727" s="15"/>
    </row>
    <row r="1728" ht="15.75" customHeight="1">
      <c r="D1728" s="15"/>
    </row>
    <row r="1729" ht="15.75" customHeight="1">
      <c r="D1729" s="15"/>
    </row>
    <row r="1730" ht="15.75" customHeight="1">
      <c r="D1730" s="15"/>
    </row>
    <row r="1731" ht="15.75" customHeight="1">
      <c r="D1731" s="15"/>
    </row>
    <row r="1732" ht="15.75" customHeight="1">
      <c r="D1732" s="15"/>
    </row>
    <row r="1733" ht="15.75" customHeight="1">
      <c r="D1733" s="15"/>
    </row>
    <row r="1734" ht="15.75" customHeight="1">
      <c r="D1734" s="15"/>
    </row>
    <row r="1735" ht="15.75" customHeight="1">
      <c r="D1735" s="15"/>
    </row>
    <row r="1736" ht="15.75" customHeight="1">
      <c r="D1736" s="15"/>
    </row>
    <row r="1737" ht="15.75" customHeight="1">
      <c r="D1737" s="15"/>
    </row>
    <row r="1738" ht="15.75" customHeight="1">
      <c r="D1738" s="15"/>
    </row>
    <row r="1739" ht="15.75" customHeight="1">
      <c r="D1739" s="15"/>
    </row>
    <row r="1740" ht="15.75" customHeight="1">
      <c r="D1740" s="15"/>
    </row>
    <row r="1741" ht="15.75" customHeight="1">
      <c r="D1741" s="15"/>
    </row>
    <row r="1742" ht="15.75" customHeight="1">
      <c r="D1742" s="15"/>
    </row>
    <row r="1743" ht="15.75" customHeight="1">
      <c r="D1743" s="15"/>
    </row>
    <row r="1744" ht="15.75" customHeight="1">
      <c r="D1744" s="15"/>
    </row>
    <row r="1745" ht="15.75" customHeight="1">
      <c r="D1745" s="15"/>
    </row>
    <row r="1746" ht="15.75" customHeight="1">
      <c r="D1746" s="15"/>
    </row>
    <row r="1747" ht="15.75" customHeight="1">
      <c r="D1747" s="15"/>
    </row>
    <row r="1748" ht="15.75" customHeight="1">
      <c r="D1748" s="15"/>
    </row>
    <row r="1749" ht="15.75" customHeight="1">
      <c r="D1749" s="15"/>
    </row>
    <row r="1750" ht="15.75" customHeight="1">
      <c r="D1750" s="15"/>
    </row>
    <row r="1751" ht="15.75" customHeight="1">
      <c r="D1751" s="15"/>
    </row>
    <row r="1752" ht="15.75" customHeight="1">
      <c r="D1752" s="15"/>
    </row>
    <row r="1753" ht="15.75" customHeight="1">
      <c r="D1753" s="15"/>
    </row>
    <row r="1754" ht="15.75" customHeight="1">
      <c r="D1754" s="15"/>
    </row>
    <row r="1755" ht="15.75" customHeight="1">
      <c r="D1755" s="15"/>
    </row>
    <row r="1756" ht="15.75" customHeight="1">
      <c r="D1756" s="15"/>
    </row>
    <row r="1757" ht="15.75" customHeight="1">
      <c r="D1757" s="15"/>
    </row>
    <row r="1758" ht="15.75" customHeight="1">
      <c r="D1758" s="15"/>
    </row>
    <row r="1759" ht="15.75" customHeight="1">
      <c r="D1759" s="15"/>
    </row>
    <row r="1760" ht="15.75" customHeight="1">
      <c r="D1760" s="15"/>
    </row>
    <row r="1761" ht="15.75" customHeight="1">
      <c r="D1761" s="15"/>
    </row>
    <row r="1762" ht="15.75" customHeight="1">
      <c r="D1762" s="15"/>
    </row>
    <row r="1763" ht="15.75" customHeight="1">
      <c r="D1763" s="15"/>
    </row>
    <row r="1764" ht="15.75" customHeight="1">
      <c r="D1764" s="15"/>
    </row>
    <row r="1765" ht="15.75" customHeight="1">
      <c r="D1765" s="15"/>
    </row>
    <row r="1766" ht="15.75" customHeight="1">
      <c r="D1766" s="15"/>
    </row>
    <row r="1767" ht="15.75" customHeight="1">
      <c r="D1767" s="15"/>
    </row>
    <row r="1768" ht="15.75" customHeight="1">
      <c r="D1768" s="15"/>
    </row>
    <row r="1769" ht="15.75" customHeight="1">
      <c r="D1769" s="15"/>
    </row>
    <row r="1770" ht="15.75" customHeight="1">
      <c r="D1770" s="15"/>
    </row>
    <row r="1771" ht="15.75" customHeight="1">
      <c r="D1771" s="15"/>
    </row>
    <row r="1772" ht="15.75" customHeight="1">
      <c r="D1772" s="15"/>
    </row>
    <row r="1773" ht="15.75" customHeight="1">
      <c r="D1773" s="15"/>
    </row>
    <row r="1774" ht="15.75" customHeight="1">
      <c r="D1774" s="15"/>
    </row>
    <row r="1775" ht="15.75" customHeight="1">
      <c r="D1775" s="15"/>
    </row>
    <row r="1776" ht="15.75" customHeight="1">
      <c r="D1776" s="15"/>
    </row>
    <row r="1777" ht="15.75" customHeight="1">
      <c r="D1777" s="15"/>
    </row>
    <row r="1778" ht="15.75" customHeight="1">
      <c r="D1778" s="15"/>
    </row>
    <row r="1779" ht="15.75" customHeight="1">
      <c r="D1779" s="15"/>
    </row>
    <row r="1780" ht="15.75" customHeight="1">
      <c r="D1780" s="15"/>
    </row>
    <row r="1781" ht="15.75" customHeight="1">
      <c r="D1781" s="15"/>
    </row>
    <row r="1782" ht="15.75" customHeight="1">
      <c r="D1782" s="15"/>
    </row>
    <row r="1783" ht="15.75" customHeight="1">
      <c r="D1783" s="15"/>
    </row>
    <row r="1784" ht="15.75" customHeight="1">
      <c r="D1784" s="15"/>
    </row>
    <row r="1785" ht="15.75" customHeight="1">
      <c r="D1785" s="15"/>
    </row>
    <row r="1786" ht="15.75" customHeight="1">
      <c r="D1786" s="15"/>
    </row>
    <row r="1787" ht="15.75" customHeight="1">
      <c r="D1787" s="15"/>
    </row>
    <row r="1788" ht="15.75" customHeight="1">
      <c r="D1788" s="15"/>
    </row>
    <row r="1789" ht="15.75" customHeight="1">
      <c r="D1789" s="15"/>
    </row>
    <row r="1790" ht="15.75" customHeight="1">
      <c r="D1790" s="15"/>
    </row>
    <row r="1791" ht="15.75" customHeight="1">
      <c r="D1791" s="15"/>
    </row>
    <row r="1792" ht="15.75" customHeight="1">
      <c r="D1792" s="15"/>
    </row>
    <row r="1793" ht="15.75" customHeight="1">
      <c r="D1793" s="15"/>
    </row>
    <row r="1794" ht="15.75" customHeight="1">
      <c r="D1794" s="15"/>
    </row>
    <row r="1795" ht="15.75" customHeight="1">
      <c r="D1795" s="15"/>
    </row>
    <row r="1796" ht="15.75" customHeight="1">
      <c r="D1796" s="15"/>
    </row>
    <row r="1797" ht="15.75" customHeight="1">
      <c r="D1797" s="15"/>
    </row>
    <row r="1798" ht="15.75" customHeight="1">
      <c r="D1798" s="15"/>
    </row>
    <row r="1799" ht="15.75" customHeight="1">
      <c r="D1799" s="15"/>
    </row>
    <row r="1800" ht="15.75" customHeight="1">
      <c r="D1800" s="15"/>
    </row>
    <row r="1801" ht="15.75" customHeight="1">
      <c r="D1801" s="15"/>
    </row>
    <row r="1802" ht="15.75" customHeight="1">
      <c r="D1802" s="15"/>
    </row>
    <row r="1803" ht="15.75" customHeight="1">
      <c r="D1803" s="15"/>
    </row>
    <row r="1804" ht="15.75" customHeight="1">
      <c r="D1804" s="15"/>
    </row>
    <row r="1805" ht="15.75" customHeight="1">
      <c r="D1805" s="15"/>
    </row>
    <row r="1806" ht="15.75" customHeight="1">
      <c r="D1806" s="15"/>
    </row>
    <row r="1807" ht="15.75" customHeight="1">
      <c r="D1807" s="15"/>
    </row>
    <row r="1808" ht="15.75" customHeight="1">
      <c r="D1808" s="15"/>
    </row>
    <row r="1809" ht="15.75" customHeight="1">
      <c r="D1809" s="15"/>
    </row>
    <row r="1810" ht="15.75" customHeight="1">
      <c r="D1810" s="15"/>
    </row>
    <row r="1811" ht="15.75" customHeight="1">
      <c r="D1811" s="15"/>
    </row>
    <row r="1812" ht="15.75" customHeight="1">
      <c r="D1812" s="15"/>
    </row>
    <row r="1813" ht="15.75" customHeight="1">
      <c r="D1813" s="15"/>
    </row>
    <row r="1814" ht="15.75" customHeight="1">
      <c r="D1814" s="15"/>
    </row>
    <row r="1815" ht="15.75" customHeight="1">
      <c r="D1815" s="15"/>
    </row>
    <row r="1816" ht="15.75" customHeight="1">
      <c r="D1816" s="15"/>
    </row>
    <row r="1817" ht="15.75" customHeight="1">
      <c r="D1817" s="15"/>
    </row>
    <row r="1818" ht="15.75" customHeight="1">
      <c r="D1818" s="15"/>
    </row>
    <row r="1819" ht="15.75" customHeight="1">
      <c r="D1819" s="15"/>
    </row>
    <row r="1820" ht="15.75" customHeight="1">
      <c r="D1820" s="15"/>
    </row>
    <row r="1821" ht="15.75" customHeight="1">
      <c r="D1821" s="15"/>
    </row>
    <row r="1822" ht="15.75" customHeight="1">
      <c r="D1822" s="15"/>
    </row>
    <row r="1823" ht="15.75" customHeight="1">
      <c r="D1823" s="15"/>
    </row>
    <row r="1824" ht="15.75" customHeight="1">
      <c r="D1824" s="15"/>
    </row>
    <row r="1825" ht="15.75" customHeight="1">
      <c r="D1825" s="15"/>
    </row>
    <row r="1826" ht="15.75" customHeight="1">
      <c r="D1826" s="15"/>
    </row>
    <row r="1827" ht="15.75" customHeight="1">
      <c r="D1827" s="15"/>
    </row>
    <row r="1828" ht="15.75" customHeight="1">
      <c r="D1828" s="15"/>
    </row>
    <row r="1829" ht="15.75" customHeight="1">
      <c r="D1829" s="15"/>
    </row>
    <row r="1830" ht="15.75" customHeight="1">
      <c r="D1830" s="15"/>
    </row>
    <row r="1831" ht="15.75" customHeight="1">
      <c r="D1831" s="15"/>
    </row>
    <row r="1832" ht="15.75" customHeight="1">
      <c r="D1832" s="15"/>
    </row>
    <row r="1833" ht="15.75" customHeight="1">
      <c r="D1833" s="15"/>
    </row>
    <row r="1834" ht="15.75" customHeight="1">
      <c r="D1834" s="15"/>
    </row>
    <row r="1835" ht="15.75" customHeight="1">
      <c r="D1835" s="15"/>
    </row>
    <row r="1836" ht="15.75" customHeight="1">
      <c r="D1836" s="15"/>
    </row>
    <row r="1837" ht="15.75" customHeight="1">
      <c r="D1837" s="15"/>
    </row>
    <row r="1838" ht="15.75" customHeight="1">
      <c r="D1838" s="15"/>
    </row>
    <row r="1839" ht="15.75" customHeight="1">
      <c r="D1839" s="15"/>
    </row>
    <row r="1840" ht="15.75" customHeight="1">
      <c r="D1840" s="15"/>
    </row>
    <row r="1841" ht="15.75" customHeight="1">
      <c r="D1841" s="15"/>
    </row>
    <row r="1842" ht="15.75" customHeight="1">
      <c r="D1842" s="15"/>
    </row>
    <row r="1843" ht="15.75" customHeight="1">
      <c r="D1843" s="15"/>
    </row>
    <row r="1844" ht="15.75" customHeight="1">
      <c r="D1844" s="15"/>
    </row>
    <row r="1845" ht="15.75" customHeight="1">
      <c r="D1845" s="15"/>
    </row>
    <row r="1846" ht="15.75" customHeight="1">
      <c r="D1846" s="15"/>
    </row>
    <row r="1847" ht="15.75" customHeight="1">
      <c r="D1847" s="15"/>
    </row>
    <row r="1848" ht="15.75" customHeight="1">
      <c r="D1848" s="15"/>
    </row>
    <row r="1849" ht="15.75" customHeight="1">
      <c r="D1849" s="15"/>
    </row>
    <row r="1850" ht="15.75" customHeight="1">
      <c r="D1850" s="15"/>
    </row>
    <row r="1851" ht="15.75" customHeight="1">
      <c r="D1851" s="15"/>
    </row>
    <row r="1852" ht="15.75" customHeight="1">
      <c r="D1852" s="15"/>
    </row>
    <row r="1853" ht="15.75" customHeight="1">
      <c r="D1853" s="15"/>
    </row>
    <row r="1854" ht="15.75" customHeight="1">
      <c r="D1854" s="15"/>
    </row>
    <row r="1855" ht="15.75" customHeight="1">
      <c r="D1855" s="15"/>
    </row>
    <row r="1856" ht="15.75" customHeight="1">
      <c r="D1856" s="15"/>
    </row>
    <row r="1857" ht="15.75" customHeight="1">
      <c r="D1857" s="15"/>
    </row>
    <row r="1858" ht="15.75" customHeight="1">
      <c r="D1858" s="15"/>
    </row>
    <row r="1859" ht="15.75" customHeight="1">
      <c r="D1859" s="15"/>
    </row>
    <row r="1860" ht="15.75" customHeight="1">
      <c r="D1860" s="15"/>
    </row>
    <row r="1861" ht="15.75" customHeight="1">
      <c r="D1861" s="15"/>
    </row>
    <row r="1862" ht="15.75" customHeight="1">
      <c r="D1862" s="15"/>
    </row>
    <row r="1863" ht="15.75" customHeight="1">
      <c r="D1863" s="15"/>
    </row>
    <row r="1864" ht="15.75" customHeight="1">
      <c r="D1864" s="15"/>
    </row>
    <row r="1865" ht="15.75" customHeight="1">
      <c r="D1865" s="15"/>
    </row>
    <row r="1866" ht="15.75" customHeight="1">
      <c r="D1866" s="15"/>
    </row>
    <row r="1867" ht="15.75" customHeight="1">
      <c r="D1867" s="15"/>
    </row>
    <row r="1868" ht="15.75" customHeight="1">
      <c r="D1868" s="15"/>
    </row>
    <row r="1869" ht="15.75" customHeight="1">
      <c r="D1869" s="15"/>
    </row>
    <row r="1870" ht="15.75" customHeight="1">
      <c r="D1870" s="15"/>
    </row>
    <row r="1871" ht="15.75" customHeight="1">
      <c r="D1871" s="15"/>
    </row>
    <row r="1872" ht="15.75" customHeight="1">
      <c r="D1872" s="15"/>
    </row>
    <row r="1873" ht="15.75" customHeight="1">
      <c r="D1873" s="15"/>
    </row>
    <row r="1874" ht="15.75" customHeight="1">
      <c r="D1874" s="15"/>
    </row>
    <row r="1875" ht="15.75" customHeight="1">
      <c r="D1875" s="15"/>
    </row>
    <row r="1876" ht="15.75" customHeight="1">
      <c r="D1876" s="15"/>
    </row>
    <row r="1877" ht="15.75" customHeight="1">
      <c r="D1877" s="15"/>
    </row>
    <row r="1878" ht="15.75" customHeight="1">
      <c r="D1878" s="15"/>
    </row>
    <row r="1879" ht="15.75" customHeight="1">
      <c r="D1879" s="15"/>
    </row>
    <row r="1880" ht="15.75" customHeight="1">
      <c r="D1880" s="15"/>
    </row>
    <row r="1881" ht="15.75" customHeight="1">
      <c r="D1881" s="15"/>
    </row>
    <row r="1882" ht="15.75" customHeight="1">
      <c r="D1882" s="15"/>
    </row>
    <row r="1883" ht="15.75" customHeight="1">
      <c r="D1883" s="15"/>
    </row>
    <row r="1884" ht="15.75" customHeight="1">
      <c r="D1884" s="15"/>
    </row>
    <row r="1885" ht="15.75" customHeight="1">
      <c r="D1885" s="15"/>
    </row>
    <row r="1886" ht="15.75" customHeight="1">
      <c r="D1886" s="15"/>
    </row>
    <row r="1887" ht="15.75" customHeight="1">
      <c r="D1887" s="15"/>
    </row>
    <row r="1888" ht="15.75" customHeight="1">
      <c r="D1888" s="15"/>
    </row>
    <row r="1889" ht="15.75" customHeight="1">
      <c r="D1889" s="15"/>
    </row>
    <row r="1890" ht="15.75" customHeight="1">
      <c r="D1890" s="15"/>
    </row>
    <row r="1891" ht="15.75" customHeight="1">
      <c r="D1891" s="15"/>
    </row>
    <row r="1892" ht="15.75" customHeight="1">
      <c r="D1892" s="15"/>
    </row>
    <row r="1893" ht="15.75" customHeight="1">
      <c r="D1893" s="15"/>
    </row>
    <row r="1894" ht="15.75" customHeight="1">
      <c r="D1894" s="15"/>
    </row>
    <row r="1895" ht="15.75" customHeight="1">
      <c r="D1895" s="15"/>
    </row>
    <row r="1896" ht="15.75" customHeight="1">
      <c r="D1896" s="15"/>
    </row>
    <row r="1897" ht="15.75" customHeight="1">
      <c r="D1897" s="15"/>
    </row>
    <row r="1898" ht="15.75" customHeight="1">
      <c r="D1898" s="15"/>
    </row>
    <row r="1899" ht="15.75" customHeight="1">
      <c r="D1899" s="15"/>
    </row>
    <row r="1900" ht="15.75" customHeight="1">
      <c r="D1900" s="15"/>
    </row>
    <row r="1901" ht="15.75" customHeight="1">
      <c r="D1901" s="15"/>
    </row>
    <row r="1902" ht="15.75" customHeight="1">
      <c r="D1902" s="15"/>
    </row>
    <row r="1903" ht="15.75" customHeight="1">
      <c r="D1903" s="15"/>
    </row>
    <row r="1904" ht="15.75" customHeight="1">
      <c r="D1904" s="15"/>
    </row>
    <row r="1905" ht="15.75" customHeight="1">
      <c r="D1905" s="15"/>
    </row>
    <row r="1906" ht="15.75" customHeight="1">
      <c r="D1906" s="15"/>
    </row>
    <row r="1907" ht="15.75" customHeight="1">
      <c r="D1907" s="15"/>
    </row>
    <row r="1908" ht="15.75" customHeight="1">
      <c r="D1908" s="15"/>
    </row>
    <row r="1909" ht="15.75" customHeight="1">
      <c r="D1909" s="15"/>
    </row>
    <row r="1910" ht="15.75" customHeight="1">
      <c r="D1910" s="15"/>
    </row>
    <row r="1911" ht="15.75" customHeight="1">
      <c r="D1911" s="15"/>
    </row>
    <row r="1912" ht="15.75" customHeight="1">
      <c r="D1912" s="15"/>
    </row>
    <row r="1913" ht="15.75" customHeight="1">
      <c r="D1913" s="15"/>
    </row>
    <row r="1914" ht="15.75" customHeight="1">
      <c r="D1914" s="15"/>
    </row>
    <row r="1915" ht="15.75" customHeight="1">
      <c r="D1915" s="15"/>
    </row>
    <row r="1916" ht="15.75" customHeight="1">
      <c r="D1916" s="15"/>
    </row>
    <row r="1917" ht="15.75" customHeight="1">
      <c r="D1917" s="15"/>
    </row>
    <row r="1918" ht="15.75" customHeight="1">
      <c r="D1918" s="15"/>
    </row>
    <row r="1919" ht="15.75" customHeight="1">
      <c r="D1919" s="15"/>
    </row>
    <row r="1920" ht="15.75" customHeight="1">
      <c r="D1920" s="15"/>
    </row>
    <row r="1921" ht="15.75" customHeight="1">
      <c r="D1921" s="15"/>
    </row>
    <row r="1922" ht="15.75" customHeight="1">
      <c r="D1922" s="15"/>
    </row>
    <row r="1923" ht="15.75" customHeight="1">
      <c r="D1923" s="15"/>
    </row>
    <row r="1924" ht="15.75" customHeight="1">
      <c r="D1924" s="15"/>
    </row>
    <row r="1925" ht="15.75" customHeight="1">
      <c r="D1925" s="15"/>
    </row>
    <row r="1926" ht="15.75" customHeight="1">
      <c r="D1926" s="15"/>
    </row>
    <row r="1927" ht="15.75" customHeight="1">
      <c r="D1927" s="15"/>
    </row>
    <row r="1928" ht="15.75" customHeight="1">
      <c r="D1928" s="15"/>
    </row>
    <row r="1929" ht="15.75" customHeight="1">
      <c r="D1929" s="15"/>
    </row>
    <row r="1930" ht="15.75" customHeight="1">
      <c r="D1930" s="15"/>
    </row>
    <row r="1931" ht="15.75" customHeight="1">
      <c r="D1931" s="15"/>
    </row>
    <row r="1932" ht="15.75" customHeight="1">
      <c r="D1932" s="15"/>
    </row>
    <row r="1933" ht="15.75" customHeight="1">
      <c r="D1933" s="15"/>
    </row>
    <row r="1934" ht="15.75" customHeight="1">
      <c r="D1934" s="15"/>
    </row>
    <row r="1935" ht="15.75" customHeight="1">
      <c r="D1935" s="15"/>
    </row>
    <row r="1936" ht="15.75" customHeight="1">
      <c r="D1936" s="15"/>
    </row>
    <row r="1937" ht="15.75" customHeight="1">
      <c r="D1937" s="15"/>
    </row>
    <row r="1938" ht="15.75" customHeight="1">
      <c r="D1938" s="15"/>
    </row>
    <row r="1939" ht="15.75" customHeight="1">
      <c r="D1939" s="15"/>
    </row>
    <row r="1940" ht="15.75" customHeight="1">
      <c r="D1940" s="15"/>
    </row>
    <row r="1941" ht="15.75" customHeight="1">
      <c r="D1941" s="15"/>
    </row>
    <row r="1942" ht="15.75" customHeight="1">
      <c r="D1942" s="15"/>
    </row>
    <row r="1943" ht="15.75" customHeight="1">
      <c r="D1943" s="15"/>
    </row>
    <row r="1944" ht="15.75" customHeight="1">
      <c r="D1944" s="15"/>
    </row>
    <row r="1945" ht="15.75" customHeight="1">
      <c r="D1945" s="15"/>
    </row>
    <row r="1946" ht="15.75" customHeight="1">
      <c r="D1946" s="15"/>
    </row>
    <row r="1947" ht="15.75" customHeight="1">
      <c r="D1947" s="15"/>
    </row>
    <row r="1948" ht="15.75" customHeight="1">
      <c r="D1948" s="15"/>
    </row>
    <row r="1949" ht="15.75" customHeight="1">
      <c r="D1949" s="15"/>
    </row>
    <row r="1950" ht="15.75" customHeight="1">
      <c r="D1950" s="15"/>
    </row>
    <row r="1951" ht="15.75" customHeight="1">
      <c r="D1951" s="15"/>
    </row>
    <row r="1952" ht="15.75" customHeight="1">
      <c r="D1952" s="15"/>
    </row>
    <row r="1953" ht="15.75" customHeight="1">
      <c r="D1953" s="15"/>
    </row>
    <row r="1954" ht="15.75" customHeight="1">
      <c r="D1954" s="15"/>
    </row>
    <row r="1955" ht="15.75" customHeight="1">
      <c r="D1955" s="15"/>
    </row>
    <row r="1956" ht="15.75" customHeight="1">
      <c r="D1956" s="15"/>
    </row>
    <row r="1957" ht="15.75" customHeight="1">
      <c r="D1957" s="15"/>
    </row>
    <row r="1958" ht="15.75" customHeight="1">
      <c r="D1958" s="15"/>
    </row>
    <row r="1959" ht="15.75" customHeight="1">
      <c r="D1959" s="15"/>
    </row>
    <row r="1960" ht="15.75" customHeight="1">
      <c r="D1960" s="15"/>
    </row>
    <row r="1961" ht="15.75" customHeight="1">
      <c r="D1961" s="15"/>
    </row>
    <row r="1962" ht="15.75" customHeight="1">
      <c r="D1962" s="15"/>
    </row>
    <row r="1963" ht="15.75" customHeight="1">
      <c r="D1963" s="15"/>
    </row>
    <row r="1964" ht="15.75" customHeight="1">
      <c r="D1964" s="15"/>
    </row>
    <row r="1965" ht="15.75" customHeight="1">
      <c r="D1965" s="15"/>
    </row>
    <row r="1966" ht="15.75" customHeight="1">
      <c r="D1966" s="15"/>
    </row>
    <row r="1967" ht="15.75" customHeight="1">
      <c r="D1967" s="15"/>
    </row>
    <row r="1968" ht="15.75" customHeight="1">
      <c r="D1968" s="15"/>
    </row>
    <row r="1969" ht="15.75" customHeight="1">
      <c r="D1969" s="15"/>
    </row>
    <row r="1970" ht="15.75" customHeight="1">
      <c r="D1970" s="15"/>
    </row>
    <row r="1971" ht="15.75" customHeight="1">
      <c r="D1971" s="15"/>
    </row>
    <row r="1972" ht="15.75" customHeight="1">
      <c r="D1972" s="15"/>
    </row>
    <row r="1973" ht="15.75" customHeight="1">
      <c r="D1973" s="15"/>
    </row>
    <row r="1974" ht="15.75" customHeight="1">
      <c r="D1974" s="15"/>
    </row>
    <row r="1975" ht="15.75" customHeight="1">
      <c r="D1975" s="15"/>
    </row>
    <row r="1976" ht="15.75" customHeight="1">
      <c r="D1976" s="15"/>
    </row>
    <row r="1977" ht="15.75" customHeight="1">
      <c r="D1977" s="15"/>
    </row>
    <row r="1978" ht="15.75" customHeight="1">
      <c r="D1978" s="15"/>
    </row>
    <row r="1979" ht="15.75" customHeight="1">
      <c r="D1979" s="15"/>
    </row>
    <row r="1980" ht="15.75" customHeight="1">
      <c r="D1980" s="15"/>
    </row>
    <row r="1981" ht="15.75" customHeight="1">
      <c r="D1981" s="15"/>
    </row>
    <row r="1982" ht="15.75" customHeight="1">
      <c r="D1982" s="15"/>
    </row>
    <row r="1983" ht="15.75" customHeight="1">
      <c r="D1983" s="15"/>
    </row>
    <row r="1984" ht="15.75" customHeight="1">
      <c r="D1984" s="15"/>
    </row>
    <row r="1985" ht="15.75" customHeight="1">
      <c r="D1985" s="15"/>
    </row>
    <row r="1986" ht="15.75" customHeight="1">
      <c r="D1986" s="15"/>
    </row>
    <row r="1987" ht="15.75" customHeight="1">
      <c r="D1987" s="15"/>
    </row>
    <row r="1988" ht="15.75" customHeight="1">
      <c r="D1988" s="15"/>
    </row>
    <row r="1989" ht="15.75" customHeight="1">
      <c r="D1989" s="15"/>
    </row>
    <row r="1990" ht="15.75" customHeight="1">
      <c r="D1990" s="15"/>
    </row>
    <row r="1991" ht="15.75" customHeight="1">
      <c r="D1991" s="15"/>
    </row>
    <row r="1992" ht="15.75" customHeight="1">
      <c r="D1992" s="15"/>
    </row>
    <row r="1993" ht="15.75" customHeight="1">
      <c r="D1993" s="15"/>
    </row>
    <row r="1994" ht="15.75" customHeight="1">
      <c r="D1994" s="15"/>
    </row>
    <row r="1995" ht="15.75" customHeight="1">
      <c r="D1995" s="15"/>
    </row>
    <row r="1996" ht="15.75" customHeight="1">
      <c r="D1996" s="15"/>
    </row>
    <row r="1997" ht="15.75" customHeight="1">
      <c r="D1997" s="15"/>
    </row>
    <row r="1998" ht="15.75" customHeight="1">
      <c r="D1998" s="15"/>
    </row>
    <row r="1999" ht="15.75" customHeight="1">
      <c r="D1999" s="15"/>
    </row>
    <row r="2000" ht="15.75" customHeight="1">
      <c r="D2000" s="15"/>
    </row>
  </sheetData>
  <autoFilter ref="$A$1:$Z$1000">
    <filterColumn colId="0">
      <filters>
        <filter val="Toyota"/>
      </filters>
    </filterColumn>
  </autoFilter>
  <conditionalFormatting sqref="G2:G156">
    <cfRule type="containsText" dxfId="4" priority="1" operator="containsText" text="GOOD">
      <formula>NOT(ISERROR(SEARCH(("GOOD"),(G2))))</formula>
    </cfRule>
  </conditionalFormatting>
  <conditionalFormatting sqref="G2:G156">
    <cfRule type="containsText" dxfId="5" priority="2" operator="containsText" text="POOR">
      <formula>NOT(ISERROR(SEARCH(("POOR"),(G2))))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</sheetData>
  <autoFilter ref="$A$1:$D$100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22.43"/>
    <col customWidth="1" min="3" max="3" width="26.14"/>
    <col customWidth="1" min="4" max="4" width="20.29"/>
    <col customWidth="1" min="5" max="5" width="10.0"/>
    <col customWidth="1" min="6" max="6" width="17.0"/>
    <col customWidth="1" min="7" max="26" width="8.86"/>
  </cols>
  <sheetData>
    <row r="1">
      <c r="B1" s="36"/>
      <c r="D1" s="37"/>
    </row>
    <row r="2">
      <c r="B2" s="36"/>
    </row>
    <row r="3">
      <c r="A3" s="12" t="s">
        <v>209</v>
      </c>
      <c r="B3" s="36" t="s">
        <v>210</v>
      </c>
    </row>
    <row r="4">
      <c r="A4" s="38" t="s">
        <v>19</v>
      </c>
      <c r="B4" s="36">
        <v>0.7228307571527356</v>
      </c>
    </row>
    <row r="5" hidden="1">
      <c r="A5" s="38" t="s">
        <v>24</v>
      </c>
      <c r="B5" s="36">
        <v>0.7501749634346314</v>
      </c>
    </row>
    <row r="6" hidden="1">
      <c r="A6" s="38" t="s">
        <v>28</v>
      </c>
      <c r="B6" s="36">
        <v>0.8983132606500887</v>
      </c>
    </row>
    <row r="7" hidden="1">
      <c r="A7" s="38" t="s">
        <v>32</v>
      </c>
      <c r="B7" s="36">
        <v>0.5553781344654274</v>
      </c>
    </row>
    <row r="8" hidden="1">
      <c r="A8" s="38" t="s">
        <v>37</v>
      </c>
      <c r="B8" s="36">
        <v>0.6172282836056243</v>
      </c>
    </row>
    <row r="9" hidden="1">
      <c r="A9" s="38" t="s">
        <v>44</v>
      </c>
      <c r="B9" s="36">
        <v>0.6139866215206876</v>
      </c>
    </row>
    <row r="10" hidden="1">
      <c r="A10" s="38" t="s">
        <v>54</v>
      </c>
      <c r="B10" s="36">
        <v>0.6380841001407175</v>
      </c>
    </row>
    <row r="11" hidden="1">
      <c r="A11" s="38" t="s">
        <v>61</v>
      </c>
      <c r="B11" s="36">
        <v>0.6796460302270696</v>
      </c>
    </row>
    <row r="12" hidden="1">
      <c r="A12" s="38" t="s">
        <v>73</v>
      </c>
      <c r="B12" s="36">
        <v>0.6029224841325896</v>
      </c>
    </row>
    <row r="13">
      <c r="A13" s="38" t="s">
        <v>85</v>
      </c>
      <c r="B13" s="36">
        <v>0.7790583138624105</v>
      </c>
    </row>
    <row r="14" hidden="1">
      <c r="A14" s="38" t="s">
        <v>91</v>
      </c>
      <c r="B14" s="36">
        <v>0.6204724657038788</v>
      </c>
    </row>
    <row r="15">
      <c r="A15" s="38" t="s">
        <v>95</v>
      </c>
      <c r="B15" s="36">
        <v>0.6682504666553538</v>
      </c>
    </row>
    <row r="16" hidden="1">
      <c r="A16" s="38" t="s">
        <v>97</v>
      </c>
      <c r="B16" s="36">
        <v>0.7761448598130841</v>
      </c>
    </row>
    <row r="17" hidden="1">
      <c r="A17" s="38" t="s">
        <v>99</v>
      </c>
      <c r="B17" s="36">
        <v>0.7561363632861043</v>
      </c>
    </row>
    <row r="18">
      <c r="A18" s="38" t="s">
        <v>103</v>
      </c>
      <c r="B18" s="36">
        <v>0.8109160090306821</v>
      </c>
    </row>
    <row r="19" hidden="1">
      <c r="A19" s="38" t="s">
        <v>110</v>
      </c>
      <c r="B19" s="36">
        <v>0.5044483910924092</v>
      </c>
    </row>
    <row r="20" hidden="1">
      <c r="A20" s="38" t="s">
        <v>129</v>
      </c>
      <c r="B20" s="36">
        <v>0.7636524923507932</v>
      </c>
    </row>
    <row r="21" ht="15.75" hidden="1" customHeight="1">
      <c r="A21" s="38" t="s">
        <v>122</v>
      </c>
      <c r="B21" s="36">
        <v>0.669618096786528</v>
      </c>
    </row>
    <row r="22" ht="15.75" customHeight="1">
      <c r="A22" s="38" t="s">
        <v>114</v>
      </c>
      <c r="B22" s="36">
        <v>0.636381274545479</v>
      </c>
    </row>
    <row r="23" ht="15.75" customHeight="1">
      <c r="A23" s="38" t="s">
        <v>139</v>
      </c>
      <c r="B23" s="36">
        <v>0.5881861846704161</v>
      </c>
    </row>
    <row r="24" ht="15.75" hidden="1" customHeight="1">
      <c r="A24" s="38" t="s">
        <v>147</v>
      </c>
      <c r="B24" s="36">
        <v>0.6226032686823303</v>
      </c>
    </row>
    <row r="25" ht="15.75" hidden="1" customHeight="1">
      <c r="A25" s="38" t="s">
        <v>154</v>
      </c>
      <c r="B25" s="36">
        <v>0.6420710310135092</v>
      </c>
    </row>
    <row r="26" ht="15.75" hidden="1" customHeight="1">
      <c r="A26" s="38" t="s">
        <v>158</v>
      </c>
      <c r="B26" s="36">
        <v>0.6035529991311378</v>
      </c>
    </row>
    <row r="27" ht="15.75" hidden="1" customHeight="1">
      <c r="A27" s="38" t="s">
        <v>165</v>
      </c>
      <c r="B27" s="36">
        <v>0.9167717264088888</v>
      </c>
    </row>
    <row r="28" ht="15.75" hidden="1" customHeight="1">
      <c r="A28" s="38" t="s">
        <v>169</v>
      </c>
      <c r="B28" s="36">
        <v>0.6937494794269532</v>
      </c>
    </row>
    <row r="29" ht="15.75" hidden="1" customHeight="1">
      <c r="A29" s="38" t="s">
        <v>172</v>
      </c>
      <c r="B29" s="36">
        <v>0.7695715231240362</v>
      </c>
    </row>
    <row r="30" ht="15.75" customHeight="1">
      <c r="A30" s="38" t="s">
        <v>178</v>
      </c>
      <c r="B30" s="36">
        <v>0.7385116664120379</v>
      </c>
    </row>
    <row r="31" ht="15.75" customHeight="1">
      <c r="A31" s="38" t="s">
        <v>181</v>
      </c>
      <c r="B31" s="36">
        <v>0.792418491642172</v>
      </c>
    </row>
    <row r="32" ht="15.75" hidden="1" customHeight="1">
      <c r="A32" s="38" t="s">
        <v>191</v>
      </c>
      <c r="B32" s="36">
        <v>0.7862991272752202</v>
      </c>
    </row>
    <row r="33" ht="15.75" hidden="1" customHeight="1">
      <c r="A33" s="38" t="s">
        <v>198</v>
      </c>
      <c r="B33" s="36">
        <v>0.6852703108025854</v>
      </c>
    </row>
    <row r="34" ht="15.75" hidden="1" customHeight="1">
      <c r="A34" s="38" t="s">
        <v>208</v>
      </c>
      <c r="B34" s="36">
        <v>0.6873822997380276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B44" s="36"/>
    </row>
    <row r="45" ht="15.75" customHeight="1">
      <c r="B45" s="36"/>
    </row>
    <row r="46" ht="15.75" customHeight="1">
      <c r="B46" s="36"/>
    </row>
    <row r="47" ht="15.75" customHeight="1">
      <c r="B47" s="36"/>
    </row>
    <row r="48" ht="15.75" customHeight="1">
      <c r="B48" s="36"/>
    </row>
    <row r="49" ht="15.75" customHeight="1">
      <c r="B49" s="36"/>
    </row>
    <row r="50" ht="15.75" customHeight="1">
      <c r="B50" s="36"/>
    </row>
    <row r="51" ht="15.75" customHeight="1">
      <c r="B51" s="36"/>
    </row>
    <row r="52" ht="15.75" customHeight="1">
      <c r="B52" s="36"/>
    </row>
    <row r="53" ht="15.75" customHeight="1">
      <c r="B53" s="36"/>
    </row>
    <row r="54" ht="15.75" customHeight="1">
      <c r="B54" s="36"/>
    </row>
    <row r="55" ht="15.75" customHeight="1">
      <c r="B55" s="36"/>
    </row>
    <row r="56" ht="15.75" customHeight="1">
      <c r="B56" s="36"/>
    </row>
    <row r="57" ht="15.75" customHeight="1">
      <c r="B57" s="36"/>
    </row>
    <row r="58" ht="15.75" customHeight="1">
      <c r="B58" s="36"/>
    </row>
    <row r="59" ht="15.75" customHeight="1">
      <c r="B59" s="36"/>
    </row>
    <row r="60" ht="15.75" customHeight="1">
      <c r="B60" s="36"/>
    </row>
    <row r="61" ht="15.75" customHeight="1">
      <c r="B61" s="36"/>
    </row>
    <row r="62" ht="15.75" customHeight="1">
      <c r="B62" s="36"/>
    </row>
    <row r="63" ht="15.75" customHeight="1">
      <c r="B63" s="36"/>
    </row>
    <row r="64" ht="15.75" customHeight="1">
      <c r="B64" s="36"/>
    </row>
    <row r="65" ht="15.75" customHeight="1">
      <c r="B65" s="36"/>
    </row>
    <row r="66" ht="15.75" customHeight="1">
      <c r="B66" s="36"/>
    </row>
    <row r="67" ht="15.75" customHeight="1">
      <c r="B67" s="36"/>
    </row>
    <row r="68" ht="15.75" customHeight="1">
      <c r="B68" s="36"/>
    </row>
    <row r="69" ht="15.75" customHeight="1">
      <c r="B69" s="36"/>
    </row>
    <row r="70" ht="15.75" customHeight="1">
      <c r="B70" s="36"/>
    </row>
    <row r="71" ht="15.75" customHeight="1">
      <c r="B71" s="36"/>
    </row>
    <row r="72" ht="15.75" customHeight="1">
      <c r="B72" s="36"/>
    </row>
    <row r="73" ht="15.75" customHeight="1">
      <c r="B73" s="36"/>
    </row>
    <row r="74" ht="15.75" customHeight="1">
      <c r="B74" s="36"/>
    </row>
    <row r="75" ht="15.75" customHeight="1">
      <c r="B75" s="36"/>
    </row>
    <row r="76" ht="15.75" customHeight="1">
      <c r="B76" s="36"/>
    </row>
    <row r="77" ht="15.75" customHeight="1">
      <c r="B77" s="36"/>
    </row>
    <row r="78" ht="15.75" customHeight="1">
      <c r="B78" s="36"/>
    </row>
    <row r="79" ht="15.75" customHeight="1">
      <c r="B79" s="36"/>
    </row>
    <row r="80" ht="15.75" customHeight="1">
      <c r="B80" s="36"/>
    </row>
    <row r="81" ht="15.75" customHeight="1">
      <c r="B81" s="36"/>
    </row>
    <row r="82" ht="15.75" customHeight="1">
      <c r="B82" s="36"/>
    </row>
    <row r="83" ht="15.75" customHeight="1">
      <c r="B83" s="36"/>
    </row>
    <row r="84" ht="15.75" customHeight="1">
      <c r="B84" s="36"/>
    </row>
    <row r="85" ht="15.75" customHeight="1">
      <c r="B85" s="36"/>
    </row>
    <row r="86" ht="15.75" customHeight="1">
      <c r="B86" s="36"/>
    </row>
    <row r="87" ht="15.75" customHeight="1">
      <c r="B87" s="36"/>
    </row>
    <row r="88" ht="15.75" customHeight="1">
      <c r="B88" s="36"/>
    </row>
    <row r="89" ht="15.75" customHeight="1">
      <c r="B89" s="36"/>
    </row>
    <row r="90" ht="15.75" customHeight="1">
      <c r="B90" s="36"/>
    </row>
    <row r="91" ht="15.75" customHeight="1">
      <c r="B91" s="36"/>
    </row>
    <row r="92" ht="15.75" customHeight="1">
      <c r="B92" s="36"/>
    </row>
    <row r="93" ht="15.75" customHeight="1">
      <c r="B93" s="36"/>
    </row>
    <row r="94" ht="15.75" customHeight="1">
      <c r="B94" s="36"/>
    </row>
    <row r="95" ht="15.75" customHeight="1">
      <c r="B95" s="36"/>
    </row>
    <row r="96" ht="15.75" customHeight="1">
      <c r="B96" s="36"/>
    </row>
    <row r="97" ht="15.75" customHeight="1">
      <c r="B97" s="36"/>
    </row>
    <row r="98" ht="15.75" customHeight="1">
      <c r="B98" s="36"/>
    </row>
    <row r="99" ht="15.75" customHeight="1">
      <c r="B99" s="36"/>
    </row>
    <row r="100" ht="15.75" customHeight="1">
      <c r="B100" s="36"/>
    </row>
    <row r="101" ht="15.75" customHeight="1">
      <c r="B101" s="36"/>
    </row>
    <row r="102" ht="15.75" customHeight="1">
      <c r="B102" s="36"/>
    </row>
    <row r="103" ht="15.75" customHeight="1">
      <c r="B103" s="36"/>
    </row>
    <row r="104" ht="15.75" customHeight="1">
      <c r="B104" s="36"/>
    </row>
    <row r="105" ht="15.75" customHeight="1">
      <c r="B105" s="36"/>
    </row>
    <row r="106" ht="15.75" customHeight="1">
      <c r="B106" s="36"/>
    </row>
    <row r="107" ht="15.75" customHeight="1">
      <c r="B107" s="36"/>
    </row>
    <row r="108" ht="15.75" customHeight="1">
      <c r="B108" s="36"/>
    </row>
    <row r="109" ht="15.75" customHeight="1">
      <c r="B109" s="36"/>
    </row>
    <row r="110" ht="15.75" customHeight="1">
      <c r="B110" s="36"/>
    </row>
    <row r="111" ht="15.75" customHeight="1">
      <c r="B111" s="36"/>
    </row>
    <row r="112" ht="15.75" customHeight="1">
      <c r="B112" s="36"/>
    </row>
    <row r="113" ht="15.75" customHeight="1">
      <c r="B113" s="36"/>
    </row>
    <row r="114" ht="15.75" customHeight="1">
      <c r="B114" s="36"/>
    </row>
    <row r="115" ht="15.75" customHeight="1">
      <c r="B115" s="36"/>
    </row>
    <row r="116" ht="15.75" customHeight="1">
      <c r="B116" s="36"/>
    </row>
    <row r="117" ht="15.75" customHeight="1">
      <c r="B117" s="36"/>
    </row>
    <row r="118" ht="15.75" customHeight="1">
      <c r="B118" s="36"/>
    </row>
    <row r="119" ht="15.75" customHeight="1">
      <c r="B119" s="36"/>
    </row>
    <row r="120" ht="15.75" customHeight="1">
      <c r="B120" s="36"/>
    </row>
    <row r="121" ht="15.75" customHeight="1">
      <c r="B121" s="36"/>
    </row>
    <row r="122" ht="15.75" customHeight="1">
      <c r="B122" s="36"/>
    </row>
    <row r="123" ht="15.75" customHeight="1">
      <c r="B123" s="36"/>
    </row>
    <row r="124" ht="15.75" customHeight="1">
      <c r="B124" s="36"/>
    </row>
    <row r="125" ht="15.75" customHeight="1">
      <c r="B125" s="36"/>
    </row>
    <row r="126" ht="15.75" customHeight="1">
      <c r="B126" s="36"/>
    </row>
    <row r="127" ht="15.75" customHeight="1">
      <c r="B127" s="36"/>
    </row>
    <row r="128" ht="15.75" customHeight="1">
      <c r="B128" s="36"/>
    </row>
    <row r="129" ht="15.75" customHeight="1">
      <c r="B129" s="36"/>
    </row>
    <row r="130" ht="15.75" customHeight="1">
      <c r="B130" s="36"/>
    </row>
    <row r="131" ht="15.75" customHeight="1">
      <c r="B131" s="36"/>
    </row>
    <row r="132" ht="15.75" customHeight="1">
      <c r="B132" s="36"/>
    </row>
    <row r="133" ht="15.75" customHeight="1">
      <c r="B133" s="36"/>
    </row>
    <row r="134" ht="15.75" customHeight="1">
      <c r="B134" s="36"/>
    </row>
    <row r="135" ht="15.75" customHeight="1">
      <c r="B135" s="36"/>
    </row>
    <row r="136" ht="15.75" customHeight="1">
      <c r="B136" s="36"/>
    </row>
    <row r="137" ht="15.75" customHeight="1">
      <c r="B137" s="36"/>
    </row>
    <row r="138" ht="15.75" customHeight="1">
      <c r="B138" s="36"/>
    </row>
    <row r="139" ht="15.75" customHeight="1">
      <c r="B139" s="36"/>
    </row>
    <row r="140" ht="15.75" customHeight="1">
      <c r="B140" s="36"/>
    </row>
    <row r="141" ht="15.75" customHeight="1">
      <c r="B141" s="36"/>
    </row>
    <row r="142" ht="15.75" customHeight="1">
      <c r="B142" s="36"/>
    </row>
    <row r="143" ht="15.75" customHeight="1">
      <c r="B143" s="36"/>
    </row>
    <row r="144" ht="15.75" customHeight="1">
      <c r="B144" s="36"/>
    </row>
    <row r="145" ht="15.75" customHeight="1">
      <c r="B145" s="36"/>
    </row>
    <row r="146" ht="15.75" customHeight="1">
      <c r="B146" s="36"/>
    </row>
    <row r="147" ht="15.75" customHeight="1">
      <c r="B147" s="36"/>
    </row>
    <row r="148" ht="15.75" customHeight="1">
      <c r="B148" s="36"/>
    </row>
    <row r="149" ht="15.75" customHeight="1">
      <c r="B149" s="36"/>
    </row>
    <row r="150" ht="15.75" customHeight="1">
      <c r="B150" s="36"/>
    </row>
    <row r="151" ht="15.75" customHeight="1">
      <c r="B151" s="36"/>
    </row>
    <row r="152" ht="15.75" customHeight="1">
      <c r="B152" s="36"/>
    </row>
    <row r="153" ht="15.75" customHeight="1">
      <c r="B153" s="36"/>
    </row>
    <row r="154" ht="15.75" customHeight="1">
      <c r="B154" s="36"/>
    </row>
    <row r="155" ht="15.75" customHeight="1">
      <c r="B155" s="36"/>
    </row>
    <row r="156" ht="15.75" customHeight="1">
      <c r="B156" s="36"/>
    </row>
    <row r="157" ht="15.75" customHeight="1">
      <c r="B157" s="36"/>
    </row>
    <row r="158" ht="15.75" customHeight="1">
      <c r="B158" s="36"/>
    </row>
    <row r="159" ht="15.75" customHeight="1">
      <c r="B159" s="36"/>
    </row>
    <row r="160" ht="15.75" customHeight="1">
      <c r="B160" s="36"/>
    </row>
    <row r="161" ht="15.75" customHeight="1">
      <c r="B161" s="36"/>
    </row>
    <row r="162" ht="15.75" customHeight="1">
      <c r="B162" s="36"/>
    </row>
    <row r="163" ht="15.75" customHeight="1">
      <c r="B163" s="36"/>
    </row>
    <row r="164" ht="15.75" customHeight="1">
      <c r="B164" s="36"/>
    </row>
    <row r="165" ht="15.75" customHeight="1">
      <c r="B165" s="36"/>
    </row>
    <row r="166" ht="15.75" customHeight="1">
      <c r="B166" s="36"/>
    </row>
    <row r="167" ht="15.75" customHeight="1">
      <c r="B167" s="36"/>
    </row>
    <row r="168" ht="15.75" customHeight="1">
      <c r="B168" s="36"/>
    </row>
    <row r="169" ht="15.75" customHeight="1">
      <c r="B169" s="36"/>
    </row>
    <row r="170" ht="15.75" customHeight="1">
      <c r="B170" s="36"/>
    </row>
    <row r="171" ht="15.75" customHeight="1">
      <c r="B171" s="36"/>
    </row>
    <row r="172" ht="15.75" customHeight="1">
      <c r="B172" s="36"/>
    </row>
    <row r="173" ht="15.75" customHeight="1">
      <c r="B173" s="36"/>
    </row>
    <row r="174" ht="15.75" customHeight="1">
      <c r="B174" s="36"/>
    </row>
    <row r="175" ht="15.75" customHeight="1">
      <c r="B175" s="36"/>
    </row>
    <row r="176" ht="15.75" customHeight="1">
      <c r="B176" s="36"/>
    </row>
    <row r="177" ht="15.75" customHeight="1">
      <c r="B177" s="36"/>
    </row>
    <row r="178" ht="15.75" customHeight="1">
      <c r="B178" s="36"/>
    </row>
    <row r="179" ht="15.75" customHeight="1">
      <c r="B179" s="36"/>
    </row>
    <row r="180" ht="15.75" customHeight="1">
      <c r="B180" s="36"/>
    </row>
    <row r="181" ht="15.75" customHeight="1">
      <c r="B181" s="36"/>
    </row>
    <row r="182" ht="15.75" customHeight="1">
      <c r="B182" s="36"/>
    </row>
    <row r="183" ht="15.75" customHeight="1">
      <c r="B183" s="36"/>
    </row>
    <row r="184" ht="15.75" customHeight="1">
      <c r="B184" s="36"/>
    </row>
    <row r="185" ht="15.75" customHeight="1">
      <c r="B185" s="36"/>
    </row>
    <row r="186" ht="15.75" customHeight="1">
      <c r="B186" s="36"/>
    </row>
    <row r="187" ht="15.75" customHeight="1">
      <c r="B187" s="36"/>
    </row>
    <row r="188" ht="15.75" customHeight="1">
      <c r="B188" s="36"/>
    </row>
    <row r="189" ht="15.75" customHeight="1">
      <c r="B189" s="36"/>
    </row>
    <row r="190" ht="15.75" customHeight="1">
      <c r="B190" s="36"/>
    </row>
    <row r="191" ht="15.75" customHeight="1">
      <c r="B191" s="36"/>
    </row>
    <row r="192" ht="15.75" customHeight="1">
      <c r="B192" s="36"/>
    </row>
    <row r="193" ht="15.75" customHeight="1">
      <c r="B193" s="36"/>
    </row>
    <row r="194" ht="15.75" customHeight="1">
      <c r="B194" s="36"/>
    </row>
    <row r="195" ht="15.75" customHeight="1">
      <c r="B195" s="36"/>
    </row>
    <row r="196" ht="15.75" customHeight="1">
      <c r="B196" s="36"/>
    </row>
    <row r="197" ht="15.75" customHeight="1">
      <c r="B197" s="36"/>
    </row>
    <row r="198" ht="15.75" customHeight="1">
      <c r="B198" s="36"/>
    </row>
    <row r="199" ht="15.75" customHeight="1">
      <c r="B199" s="36"/>
    </row>
    <row r="200" ht="15.75" customHeight="1">
      <c r="B200" s="36"/>
    </row>
    <row r="201" ht="15.75" customHeight="1">
      <c r="B201" s="36"/>
    </row>
    <row r="202" ht="15.75" customHeight="1">
      <c r="B202" s="36"/>
    </row>
    <row r="203" ht="15.75" customHeight="1">
      <c r="B203" s="36"/>
    </row>
    <row r="204" ht="15.75" customHeight="1">
      <c r="B204" s="36"/>
    </row>
    <row r="205" ht="15.75" customHeight="1">
      <c r="B205" s="36"/>
    </row>
    <row r="206" ht="15.75" customHeight="1">
      <c r="B206" s="36"/>
    </row>
    <row r="207" ht="15.75" customHeight="1">
      <c r="B207" s="36"/>
    </row>
    <row r="208" ht="15.75" customHeight="1">
      <c r="B208" s="36"/>
    </row>
    <row r="209" ht="15.75" customHeight="1">
      <c r="B209" s="36"/>
    </row>
    <row r="210" ht="15.75" customHeight="1">
      <c r="B210" s="36"/>
    </row>
    <row r="211" ht="15.75" customHeight="1">
      <c r="B211" s="36"/>
    </row>
    <row r="212" ht="15.75" customHeight="1">
      <c r="B212" s="36"/>
    </row>
    <row r="213" ht="15.75" customHeight="1">
      <c r="B213" s="36"/>
    </row>
    <row r="214" ht="15.75" customHeight="1">
      <c r="B214" s="36"/>
    </row>
    <row r="215" ht="15.75" customHeight="1">
      <c r="B215" s="36"/>
    </row>
    <row r="216" ht="15.75" customHeight="1">
      <c r="B216" s="36"/>
    </row>
    <row r="217" ht="15.75" customHeight="1">
      <c r="B217" s="36"/>
    </row>
    <row r="218" ht="15.75" customHeight="1">
      <c r="B218" s="36"/>
    </row>
    <row r="219" ht="15.75" customHeight="1">
      <c r="B219" s="36"/>
    </row>
    <row r="220" ht="15.75" customHeight="1">
      <c r="B220" s="36"/>
    </row>
    <row r="221" ht="15.75" customHeight="1">
      <c r="B221" s="36"/>
    </row>
    <row r="222" ht="15.75" customHeight="1">
      <c r="B222" s="36"/>
    </row>
    <row r="223" ht="15.75" customHeight="1">
      <c r="B223" s="36"/>
    </row>
    <row r="224" ht="15.75" customHeight="1">
      <c r="B224" s="36"/>
    </row>
    <row r="225" ht="15.75" customHeight="1">
      <c r="B225" s="36"/>
    </row>
    <row r="226" ht="15.75" customHeight="1">
      <c r="B226" s="36"/>
    </row>
    <row r="227" ht="15.75" customHeight="1">
      <c r="B227" s="36"/>
    </row>
    <row r="228" ht="15.75" customHeight="1">
      <c r="B228" s="36"/>
    </row>
    <row r="229" ht="15.75" customHeight="1">
      <c r="B229" s="36"/>
    </row>
    <row r="230" ht="15.75" customHeight="1">
      <c r="B230" s="36"/>
    </row>
    <row r="231" ht="15.75" customHeight="1">
      <c r="B231" s="36"/>
    </row>
    <row r="232" ht="15.75" customHeight="1">
      <c r="B232" s="36"/>
    </row>
    <row r="233" ht="15.75" customHeight="1">
      <c r="B233" s="36"/>
    </row>
    <row r="234" ht="15.75" customHeight="1">
      <c r="B234" s="36"/>
    </row>
    <row r="235" ht="15.75" customHeight="1">
      <c r="B235" s="36"/>
    </row>
    <row r="236" ht="15.75" customHeight="1">
      <c r="B236" s="36"/>
    </row>
    <row r="237" ht="15.75" customHeight="1">
      <c r="B237" s="36"/>
    </row>
    <row r="238" ht="15.75" customHeight="1">
      <c r="B238" s="36"/>
    </row>
    <row r="239" ht="15.75" customHeight="1">
      <c r="B239" s="36"/>
    </row>
    <row r="240" ht="15.75" customHeight="1">
      <c r="B240" s="36"/>
    </row>
    <row r="241" ht="15.75" customHeight="1">
      <c r="B241" s="36"/>
    </row>
    <row r="242" ht="15.75" customHeight="1">
      <c r="B242" s="36"/>
    </row>
    <row r="243" ht="15.75" customHeight="1">
      <c r="B243" s="36"/>
    </row>
    <row r="244" ht="15.75" customHeight="1">
      <c r="B244" s="36"/>
    </row>
    <row r="245" ht="15.75" customHeight="1">
      <c r="B245" s="36"/>
    </row>
    <row r="246" ht="15.75" customHeight="1">
      <c r="B246" s="36"/>
    </row>
    <row r="247" ht="15.75" customHeight="1">
      <c r="B247" s="36"/>
    </row>
    <row r="248" ht="15.75" customHeight="1">
      <c r="B248" s="36"/>
    </row>
    <row r="249" ht="15.75" customHeight="1">
      <c r="B249" s="36"/>
    </row>
    <row r="250" ht="15.75" customHeight="1">
      <c r="B250" s="36"/>
    </row>
    <row r="251" ht="15.75" customHeight="1">
      <c r="B251" s="36"/>
    </row>
    <row r="252" ht="15.75" customHeight="1">
      <c r="B252" s="36"/>
    </row>
    <row r="253" ht="15.75" customHeight="1">
      <c r="B253" s="36"/>
    </row>
    <row r="254" ht="15.75" customHeight="1">
      <c r="B254" s="36"/>
    </row>
    <row r="255" ht="15.75" customHeight="1">
      <c r="B255" s="36"/>
    </row>
    <row r="256" ht="15.75" customHeight="1">
      <c r="B256" s="36"/>
    </row>
    <row r="257" ht="15.75" customHeight="1">
      <c r="B257" s="36"/>
    </row>
    <row r="258" ht="15.75" customHeight="1">
      <c r="B258" s="36"/>
    </row>
    <row r="259" ht="15.75" customHeight="1">
      <c r="B259" s="36"/>
    </row>
    <row r="260" ht="15.75" customHeight="1">
      <c r="B260" s="36"/>
    </row>
    <row r="261" ht="15.75" customHeight="1">
      <c r="B261" s="36"/>
    </row>
    <row r="262" ht="15.75" customHeight="1">
      <c r="B262" s="36"/>
    </row>
    <row r="263" ht="15.75" customHeight="1">
      <c r="B263" s="36"/>
    </row>
    <row r="264" ht="15.75" customHeight="1">
      <c r="B264" s="36"/>
    </row>
    <row r="265" ht="15.75" customHeight="1">
      <c r="B265" s="36"/>
    </row>
    <row r="266" ht="15.75" customHeight="1">
      <c r="B266" s="36"/>
    </row>
    <row r="267" ht="15.75" customHeight="1">
      <c r="B267" s="36"/>
    </row>
    <row r="268" ht="15.75" customHeight="1">
      <c r="B268" s="36"/>
    </row>
    <row r="269" ht="15.75" customHeight="1">
      <c r="B269" s="36"/>
    </row>
    <row r="270" ht="15.75" customHeight="1">
      <c r="B270" s="36"/>
    </row>
    <row r="271" ht="15.75" customHeight="1">
      <c r="B271" s="36"/>
    </row>
    <row r="272" ht="15.75" customHeight="1">
      <c r="B272" s="36"/>
    </row>
    <row r="273" ht="15.75" customHeight="1">
      <c r="B273" s="36"/>
    </row>
    <row r="274" ht="15.75" customHeight="1">
      <c r="B274" s="36"/>
    </row>
    <row r="275" ht="15.75" customHeight="1">
      <c r="B275" s="36"/>
    </row>
    <row r="276" ht="15.75" customHeight="1">
      <c r="B276" s="36"/>
    </row>
    <row r="277" ht="15.75" customHeight="1">
      <c r="B277" s="36"/>
    </row>
    <row r="278" ht="15.75" customHeight="1">
      <c r="B278" s="36"/>
    </row>
    <row r="279" ht="15.75" customHeight="1">
      <c r="B279" s="36"/>
    </row>
    <row r="280" ht="15.75" customHeight="1">
      <c r="B280" s="36"/>
    </row>
    <row r="281" ht="15.75" customHeight="1">
      <c r="B281" s="36"/>
    </row>
    <row r="282" ht="15.75" customHeight="1">
      <c r="B282" s="36"/>
    </row>
    <row r="283" ht="15.75" customHeight="1">
      <c r="B283" s="36"/>
    </row>
    <row r="284" ht="15.75" customHeight="1">
      <c r="B284" s="36"/>
    </row>
    <row r="285" ht="15.75" customHeight="1">
      <c r="B285" s="36"/>
    </row>
    <row r="286" ht="15.75" customHeight="1">
      <c r="B286" s="36"/>
    </row>
    <row r="287" ht="15.75" customHeight="1">
      <c r="B287" s="36"/>
    </row>
    <row r="288" ht="15.75" customHeight="1">
      <c r="B288" s="36"/>
    </row>
    <row r="289" ht="15.75" customHeight="1">
      <c r="B289" s="36"/>
    </row>
    <row r="290" ht="15.75" customHeight="1">
      <c r="B290" s="36"/>
    </row>
    <row r="291" ht="15.75" customHeight="1">
      <c r="B291" s="36"/>
    </row>
    <row r="292" ht="15.75" customHeight="1">
      <c r="B292" s="36"/>
    </row>
    <row r="293" ht="15.75" customHeight="1">
      <c r="B293" s="36"/>
    </row>
    <row r="294" ht="15.75" customHeight="1">
      <c r="B294" s="36"/>
    </row>
    <row r="295" ht="15.75" customHeight="1">
      <c r="B295" s="36"/>
    </row>
    <row r="296" ht="15.75" customHeight="1">
      <c r="B296" s="36"/>
    </row>
    <row r="297" ht="15.75" customHeight="1">
      <c r="B297" s="36"/>
    </row>
    <row r="298" ht="15.75" customHeight="1">
      <c r="B298" s="36"/>
    </row>
    <row r="299" ht="15.75" customHeight="1">
      <c r="B299" s="36"/>
    </row>
    <row r="300" ht="15.75" customHeight="1">
      <c r="B300" s="36"/>
    </row>
    <row r="301" ht="15.75" customHeight="1">
      <c r="B301" s="36"/>
    </row>
    <row r="302" ht="15.75" customHeight="1">
      <c r="B302" s="36"/>
    </row>
    <row r="303" ht="15.75" customHeight="1">
      <c r="B303" s="36"/>
    </row>
    <row r="304" ht="15.75" customHeight="1">
      <c r="B304" s="36"/>
    </row>
    <row r="305" ht="15.75" customHeight="1">
      <c r="B305" s="36"/>
    </row>
    <row r="306" ht="15.75" customHeight="1">
      <c r="B306" s="36"/>
    </row>
    <row r="307" ht="15.75" customHeight="1">
      <c r="B307" s="36"/>
    </row>
    <row r="308" ht="15.75" customHeight="1">
      <c r="B308" s="36"/>
    </row>
    <row r="309" ht="15.75" customHeight="1">
      <c r="B309" s="36"/>
    </row>
    <row r="310" ht="15.75" customHeight="1">
      <c r="B310" s="36"/>
    </row>
    <row r="311" ht="15.75" customHeight="1">
      <c r="B311" s="36"/>
    </row>
    <row r="312" ht="15.75" customHeight="1">
      <c r="B312" s="36"/>
    </row>
    <row r="313" ht="15.75" customHeight="1">
      <c r="B313" s="36"/>
    </row>
    <row r="314" ht="15.75" customHeight="1">
      <c r="B314" s="36"/>
    </row>
    <row r="315" ht="15.75" customHeight="1">
      <c r="B315" s="36"/>
    </row>
    <row r="316" ht="15.75" customHeight="1">
      <c r="B316" s="36"/>
    </row>
    <row r="317" ht="15.75" customHeight="1">
      <c r="B317" s="36"/>
    </row>
    <row r="318" ht="15.75" customHeight="1">
      <c r="B318" s="36"/>
    </row>
    <row r="319" ht="15.75" customHeight="1">
      <c r="B319" s="36"/>
    </row>
    <row r="320" ht="15.75" customHeight="1">
      <c r="B320" s="36"/>
    </row>
    <row r="321" ht="15.75" customHeight="1">
      <c r="B321" s="36"/>
    </row>
    <row r="322" ht="15.75" customHeight="1">
      <c r="B322" s="36"/>
    </row>
    <row r="323" ht="15.75" customHeight="1">
      <c r="B323" s="36"/>
    </row>
    <row r="324" ht="15.75" customHeight="1">
      <c r="B324" s="36"/>
    </row>
    <row r="325" ht="15.75" customHeight="1">
      <c r="B325" s="36"/>
    </row>
    <row r="326" ht="15.75" customHeight="1">
      <c r="B326" s="36"/>
    </row>
    <row r="327" ht="15.75" customHeight="1">
      <c r="B327" s="36"/>
    </row>
    <row r="328" ht="15.75" customHeight="1">
      <c r="B328" s="36"/>
    </row>
    <row r="329" ht="15.75" customHeight="1">
      <c r="B329" s="36"/>
    </row>
    <row r="330" ht="15.75" customHeight="1">
      <c r="B330" s="36"/>
    </row>
    <row r="331" ht="15.75" customHeight="1">
      <c r="B331" s="36"/>
    </row>
    <row r="332" ht="15.75" customHeight="1">
      <c r="B332" s="36"/>
    </row>
    <row r="333" ht="15.75" customHeight="1">
      <c r="B333" s="36"/>
    </row>
    <row r="334" ht="15.75" customHeight="1">
      <c r="B334" s="36"/>
    </row>
    <row r="335" ht="15.75" customHeight="1">
      <c r="B335" s="36"/>
    </row>
    <row r="336" ht="15.75" customHeight="1">
      <c r="B336" s="36"/>
    </row>
    <row r="337" ht="15.75" customHeight="1">
      <c r="B337" s="36"/>
    </row>
    <row r="338" ht="15.75" customHeight="1">
      <c r="B338" s="36"/>
    </row>
    <row r="339" ht="15.75" customHeight="1">
      <c r="B339" s="36"/>
    </row>
    <row r="340" ht="15.75" customHeight="1">
      <c r="B340" s="36"/>
    </row>
    <row r="341" ht="15.75" customHeight="1">
      <c r="B341" s="36"/>
    </row>
    <row r="342" ht="15.75" customHeight="1">
      <c r="B342" s="36"/>
    </row>
    <row r="343" ht="15.75" customHeight="1">
      <c r="B343" s="36"/>
    </row>
    <row r="344" ht="15.75" customHeight="1">
      <c r="B344" s="36"/>
    </row>
    <row r="345" ht="15.75" customHeight="1">
      <c r="B345" s="36"/>
    </row>
    <row r="346" ht="15.75" customHeight="1">
      <c r="B346" s="36"/>
    </row>
    <row r="347" ht="15.75" customHeight="1">
      <c r="B347" s="36"/>
    </row>
    <row r="348" ht="15.75" customHeight="1">
      <c r="B348" s="36"/>
    </row>
    <row r="349" ht="15.75" customHeight="1">
      <c r="B349" s="36"/>
    </row>
    <row r="350" ht="15.75" customHeight="1">
      <c r="B350" s="36"/>
    </row>
    <row r="351" ht="15.75" customHeight="1">
      <c r="B351" s="36"/>
    </row>
    <row r="352" ht="15.75" customHeight="1">
      <c r="B352" s="36"/>
    </row>
    <row r="353" ht="15.75" customHeight="1">
      <c r="B353" s="36"/>
    </row>
    <row r="354" ht="15.75" customHeight="1">
      <c r="B354" s="36"/>
    </row>
    <row r="355" ht="15.75" customHeight="1">
      <c r="B355" s="36"/>
    </row>
    <row r="356" ht="15.75" customHeight="1">
      <c r="B356" s="36"/>
    </row>
    <row r="357" ht="15.75" customHeight="1">
      <c r="B357" s="36"/>
    </row>
    <row r="358" ht="15.75" customHeight="1">
      <c r="B358" s="36"/>
    </row>
    <row r="359" ht="15.75" customHeight="1">
      <c r="B359" s="36"/>
    </row>
    <row r="360" ht="15.75" customHeight="1">
      <c r="B360" s="36"/>
    </row>
    <row r="361" ht="15.75" customHeight="1">
      <c r="B361" s="36"/>
    </row>
    <row r="362" ht="15.75" customHeight="1">
      <c r="B362" s="36"/>
    </row>
    <row r="363" ht="15.75" customHeight="1">
      <c r="B363" s="36"/>
    </row>
    <row r="364" ht="15.75" customHeight="1">
      <c r="B364" s="36"/>
    </row>
    <row r="365" ht="15.75" customHeight="1">
      <c r="B365" s="36"/>
    </row>
    <row r="366" ht="15.75" customHeight="1">
      <c r="B366" s="36"/>
    </row>
    <row r="367" ht="15.75" customHeight="1">
      <c r="B367" s="36"/>
    </row>
    <row r="368" ht="15.75" customHeight="1">
      <c r="B368" s="36"/>
    </row>
    <row r="369" ht="15.75" customHeight="1">
      <c r="B369" s="36"/>
    </row>
    <row r="370" ht="15.75" customHeight="1">
      <c r="B370" s="36"/>
    </row>
    <row r="371" ht="15.75" customHeight="1">
      <c r="B371" s="36"/>
    </row>
    <row r="372" ht="15.75" customHeight="1">
      <c r="B372" s="36"/>
    </row>
    <row r="373" ht="15.75" customHeight="1">
      <c r="B373" s="36"/>
    </row>
    <row r="374" ht="15.75" customHeight="1">
      <c r="B374" s="36"/>
    </row>
    <row r="375" ht="15.75" customHeight="1">
      <c r="B375" s="36"/>
    </row>
    <row r="376" ht="15.75" customHeight="1">
      <c r="B376" s="36"/>
    </row>
    <row r="377" ht="15.75" customHeight="1">
      <c r="B377" s="36"/>
    </row>
    <row r="378" ht="15.75" customHeight="1">
      <c r="B378" s="36"/>
    </row>
    <row r="379" ht="15.75" customHeight="1">
      <c r="B379" s="36"/>
    </row>
    <row r="380" ht="15.75" customHeight="1">
      <c r="B380" s="36"/>
    </row>
    <row r="381" ht="15.75" customHeight="1">
      <c r="B381" s="36"/>
    </row>
    <row r="382" ht="15.75" customHeight="1">
      <c r="B382" s="36"/>
    </row>
    <row r="383" ht="15.75" customHeight="1">
      <c r="B383" s="36"/>
    </row>
    <row r="384" ht="15.75" customHeight="1">
      <c r="B384" s="36"/>
    </row>
    <row r="385" ht="15.75" customHeight="1">
      <c r="B385" s="36"/>
    </row>
    <row r="386" ht="15.75" customHeight="1">
      <c r="B386" s="36"/>
    </row>
    <row r="387" ht="15.75" customHeight="1">
      <c r="B387" s="36"/>
    </row>
    <row r="388" ht="15.75" customHeight="1">
      <c r="B388" s="36"/>
    </row>
    <row r="389" ht="15.75" customHeight="1">
      <c r="B389" s="36"/>
    </row>
    <row r="390" ht="15.75" customHeight="1">
      <c r="B390" s="36"/>
    </row>
    <row r="391" ht="15.75" customHeight="1">
      <c r="B391" s="36"/>
    </row>
    <row r="392" ht="15.75" customHeight="1">
      <c r="B392" s="36"/>
    </row>
    <row r="393" ht="15.75" customHeight="1">
      <c r="B393" s="36"/>
    </row>
    <row r="394" ht="15.75" customHeight="1">
      <c r="B394" s="36"/>
    </row>
    <row r="395" ht="15.75" customHeight="1">
      <c r="B395" s="36"/>
    </row>
    <row r="396" ht="15.75" customHeight="1">
      <c r="B396" s="36"/>
    </row>
    <row r="397" ht="15.75" customHeight="1">
      <c r="B397" s="36"/>
    </row>
    <row r="398" ht="15.75" customHeight="1">
      <c r="B398" s="36"/>
    </row>
    <row r="399" ht="15.75" customHeight="1">
      <c r="B399" s="36"/>
    </row>
    <row r="400" ht="15.75" customHeight="1">
      <c r="B400" s="36"/>
    </row>
    <row r="401" ht="15.75" customHeight="1">
      <c r="B401" s="36"/>
    </row>
    <row r="402" ht="15.75" customHeight="1">
      <c r="B402" s="36"/>
    </row>
    <row r="403" ht="15.75" customHeight="1">
      <c r="B403" s="36"/>
    </row>
    <row r="404" ht="15.75" customHeight="1">
      <c r="B404" s="36"/>
    </row>
    <row r="405" ht="15.75" customHeight="1">
      <c r="B405" s="36"/>
    </row>
    <row r="406" ht="15.75" customHeight="1">
      <c r="B406" s="36"/>
    </row>
    <row r="407" ht="15.75" customHeight="1">
      <c r="B407" s="36"/>
    </row>
    <row r="408" ht="15.75" customHeight="1">
      <c r="B408" s="36"/>
    </row>
    <row r="409" ht="15.75" customHeight="1">
      <c r="B409" s="36"/>
    </row>
    <row r="410" ht="15.75" customHeight="1">
      <c r="B410" s="36"/>
    </row>
    <row r="411" ht="15.75" customHeight="1">
      <c r="B411" s="36"/>
    </row>
    <row r="412" ht="15.75" customHeight="1">
      <c r="B412" s="36"/>
    </row>
    <row r="413" ht="15.75" customHeight="1">
      <c r="B413" s="36"/>
    </row>
    <row r="414" ht="15.75" customHeight="1">
      <c r="B414" s="36"/>
    </row>
    <row r="415" ht="15.75" customHeight="1">
      <c r="B415" s="36"/>
    </row>
    <row r="416" ht="15.75" customHeight="1">
      <c r="B416" s="36"/>
    </row>
    <row r="417" ht="15.75" customHeight="1">
      <c r="B417" s="36"/>
    </row>
    <row r="418" ht="15.75" customHeight="1">
      <c r="B418" s="36"/>
    </row>
    <row r="419" ht="15.75" customHeight="1">
      <c r="B419" s="36"/>
    </row>
    <row r="420" ht="15.75" customHeight="1">
      <c r="B420" s="36"/>
    </row>
    <row r="421" ht="15.75" customHeight="1">
      <c r="B421" s="36"/>
    </row>
    <row r="422" ht="15.75" customHeight="1">
      <c r="B422" s="36"/>
    </row>
    <row r="423" ht="15.75" customHeight="1">
      <c r="B423" s="36"/>
    </row>
    <row r="424" ht="15.75" customHeight="1">
      <c r="B424" s="36"/>
    </row>
    <row r="425" ht="15.75" customHeight="1">
      <c r="B425" s="36"/>
    </row>
    <row r="426" ht="15.75" customHeight="1">
      <c r="B426" s="36"/>
    </row>
    <row r="427" ht="15.75" customHeight="1">
      <c r="B427" s="36"/>
    </row>
    <row r="428" ht="15.75" customHeight="1">
      <c r="B428" s="36"/>
    </row>
    <row r="429" ht="15.75" customHeight="1">
      <c r="B429" s="36"/>
    </row>
    <row r="430" ht="15.75" customHeight="1">
      <c r="B430" s="36"/>
    </row>
    <row r="431" ht="15.75" customHeight="1">
      <c r="B431" s="36"/>
    </row>
    <row r="432" ht="15.75" customHeight="1">
      <c r="B432" s="36"/>
    </row>
    <row r="433" ht="15.75" customHeight="1">
      <c r="B433" s="36"/>
    </row>
    <row r="434" ht="15.75" customHeight="1">
      <c r="B434" s="36"/>
    </row>
    <row r="435" ht="15.75" customHeight="1">
      <c r="B435" s="36"/>
    </row>
    <row r="436" ht="15.75" customHeight="1">
      <c r="B436" s="36"/>
    </row>
    <row r="437" ht="15.75" customHeight="1">
      <c r="B437" s="36"/>
    </row>
    <row r="438" ht="15.75" customHeight="1">
      <c r="B438" s="36"/>
    </row>
    <row r="439" ht="15.75" customHeight="1">
      <c r="B439" s="36"/>
    </row>
    <row r="440" ht="15.75" customHeight="1">
      <c r="B440" s="36"/>
    </row>
    <row r="441" ht="15.75" customHeight="1">
      <c r="B441" s="36"/>
    </row>
    <row r="442" ht="15.75" customHeight="1">
      <c r="B442" s="36"/>
    </row>
    <row r="443" ht="15.75" customHeight="1">
      <c r="B443" s="36"/>
    </row>
    <row r="444" ht="15.75" customHeight="1">
      <c r="B444" s="36"/>
    </row>
    <row r="445" ht="15.75" customHeight="1">
      <c r="B445" s="36"/>
    </row>
    <row r="446" ht="15.75" customHeight="1">
      <c r="B446" s="36"/>
    </row>
    <row r="447" ht="15.75" customHeight="1">
      <c r="B447" s="36"/>
    </row>
    <row r="448" ht="15.75" customHeight="1">
      <c r="B448" s="36"/>
    </row>
    <row r="449" ht="15.75" customHeight="1">
      <c r="B449" s="36"/>
    </row>
    <row r="450" ht="15.75" customHeight="1">
      <c r="B450" s="36"/>
    </row>
    <row r="451" ht="15.75" customHeight="1">
      <c r="B451" s="36"/>
    </row>
    <row r="452" ht="15.75" customHeight="1">
      <c r="B452" s="36"/>
    </row>
    <row r="453" ht="15.75" customHeight="1">
      <c r="B453" s="36"/>
    </row>
    <row r="454" ht="15.75" customHeight="1">
      <c r="B454" s="36"/>
    </row>
    <row r="455" ht="15.75" customHeight="1">
      <c r="B455" s="36"/>
    </row>
    <row r="456" ht="15.75" customHeight="1">
      <c r="B456" s="36"/>
    </row>
    <row r="457" ht="15.75" customHeight="1">
      <c r="B457" s="36"/>
    </row>
    <row r="458" ht="15.75" customHeight="1">
      <c r="B458" s="36"/>
    </row>
    <row r="459" ht="15.75" customHeight="1">
      <c r="B459" s="36"/>
    </row>
    <row r="460" ht="15.75" customHeight="1">
      <c r="B460" s="36"/>
    </row>
    <row r="461" ht="15.75" customHeight="1">
      <c r="B461" s="36"/>
    </row>
    <row r="462" ht="15.75" customHeight="1">
      <c r="B462" s="36"/>
    </row>
    <row r="463" ht="15.75" customHeight="1">
      <c r="B463" s="36"/>
    </row>
    <row r="464" ht="15.75" customHeight="1">
      <c r="B464" s="36"/>
    </row>
    <row r="465" ht="15.75" customHeight="1">
      <c r="B465" s="36"/>
    </row>
    <row r="466" ht="15.75" customHeight="1">
      <c r="B466" s="36"/>
    </row>
    <row r="467" ht="15.75" customHeight="1">
      <c r="B467" s="36"/>
    </row>
    <row r="468" ht="15.75" customHeight="1">
      <c r="B468" s="36"/>
    </row>
    <row r="469" ht="15.75" customHeight="1">
      <c r="B469" s="36"/>
    </row>
    <row r="470" ht="15.75" customHeight="1">
      <c r="B470" s="36"/>
    </row>
    <row r="471" ht="15.75" customHeight="1">
      <c r="B471" s="36"/>
    </row>
    <row r="472" ht="15.75" customHeight="1">
      <c r="B472" s="36"/>
    </row>
    <row r="473" ht="15.75" customHeight="1">
      <c r="B473" s="36"/>
    </row>
    <row r="474" ht="15.75" customHeight="1">
      <c r="B474" s="36"/>
    </row>
    <row r="475" ht="15.75" customHeight="1">
      <c r="B475" s="36"/>
    </row>
    <row r="476" ht="15.75" customHeight="1">
      <c r="B476" s="36"/>
    </row>
    <row r="477" ht="15.75" customHeight="1">
      <c r="B477" s="36"/>
    </row>
    <row r="478" ht="15.75" customHeight="1">
      <c r="B478" s="36"/>
    </row>
    <row r="479" ht="15.75" customHeight="1">
      <c r="B479" s="36"/>
    </row>
    <row r="480" ht="15.75" customHeight="1">
      <c r="B480" s="36"/>
    </row>
    <row r="481" ht="15.75" customHeight="1">
      <c r="B481" s="36"/>
    </row>
    <row r="482" ht="15.75" customHeight="1">
      <c r="B482" s="36"/>
    </row>
    <row r="483" ht="15.75" customHeight="1">
      <c r="B483" s="36"/>
    </row>
    <row r="484" ht="15.75" customHeight="1">
      <c r="B484" s="36"/>
    </row>
    <row r="485" ht="15.75" customHeight="1">
      <c r="B485" s="36"/>
    </row>
    <row r="486" ht="15.75" customHeight="1">
      <c r="B486" s="36"/>
    </row>
    <row r="487" ht="15.75" customHeight="1">
      <c r="B487" s="36"/>
    </row>
    <row r="488" ht="15.75" customHeight="1">
      <c r="B488" s="36"/>
    </row>
    <row r="489" ht="15.75" customHeight="1">
      <c r="B489" s="36"/>
    </row>
    <row r="490" ht="15.75" customHeight="1">
      <c r="B490" s="36"/>
    </row>
    <row r="491" ht="15.75" customHeight="1">
      <c r="B491" s="36"/>
    </row>
    <row r="492" ht="15.75" customHeight="1">
      <c r="B492" s="36"/>
    </row>
    <row r="493" ht="15.75" customHeight="1">
      <c r="B493" s="36"/>
    </row>
    <row r="494" ht="15.75" customHeight="1">
      <c r="B494" s="36"/>
    </row>
    <row r="495" ht="15.75" customHeight="1">
      <c r="B495" s="36"/>
    </row>
    <row r="496" ht="15.75" customHeight="1">
      <c r="B496" s="36"/>
    </row>
    <row r="497" ht="15.75" customHeight="1">
      <c r="B497" s="36"/>
    </row>
    <row r="498" ht="15.75" customHeight="1">
      <c r="B498" s="36"/>
    </row>
    <row r="499" ht="15.75" customHeight="1">
      <c r="B499" s="36"/>
    </row>
    <row r="500" ht="15.75" customHeight="1">
      <c r="B500" s="36"/>
    </row>
    <row r="501" ht="15.75" customHeight="1">
      <c r="B501" s="36"/>
    </row>
    <row r="502" ht="15.75" customHeight="1">
      <c r="B502" s="36"/>
    </row>
    <row r="503" ht="15.75" customHeight="1">
      <c r="B503" s="36"/>
    </row>
    <row r="504" ht="15.75" customHeight="1">
      <c r="B504" s="36"/>
    </row>
    <row r="505" ht="15.75" customHeight="1">
      <c r="B505" s="36"/>
    </row>
    <row r="506" ht="15.75" customHeight="1">
      <c r="B506" s="36"/>
    </row>
    <row r="507" ht="15.75" customHeight="1">
      <c r="B507" s="36"/>
    </row>
    <row r="508" ht="15.75" customHeight="1">
      <c r="B508" s="36"/>
    </row>
    <row r="509" ht="15.75" customHeight="1">
      <c r="B509" s="36"/>
    </row>
    <row r="510" ht="15.75" customHeight="1">
      <c r="B510" s="36"/>
    </row>
    <row r="511" ht="15.75" customHeight="1">
      <c r="B511" s="36"/>
    </row>
    <row r="512" ht="15.75" customHeight="1">
      <c r="B512" s="36"/>
    </row>
    <row r="513" ht="15.75" customHeight="1">
      <c r="B513" s="36"/>
    </row>
    <row r="514" ht="15.75" customHeight="1">
      <c r="B514" s="36"/>
    </row>
    <row r="515" ht="15.75" customHeight="1">
      <c r="B515" s="36"/>
    </row>
    <row r="516" ht="15.75" customHeight="1">
      <c r="B516" s="36"/>
    </row>
    <row r="517" ht="15.75" customHeight="1">
      <c r="B517" s="36"/>
    </row>
    <row r="518" ht="15.75" customHeight="1">
      <c r="B518" s="36"/>
    </row>
    <row r="519" ht="15.75" customHeight="1">
      <c r="B519" s="36"/>
    </row>
    <row r="520" ht="15.75" customHeight="1">
      <c r="B520" s="36"/>
    </row>
    <row r="521" ht="15.75" customHeight="1">
      <c r="B521" s="36"/>
    </row>
    <row r="522" ht="15.75" customHeight="1">
      <c r="B522" s="36"/>
    </row>
    <row r="523" ht="15.75" customHeight="1">
      <c r="B523" s="36"/>
    </row>
    <row r="524" ht="15.75" customHeight="1">
      <c r="B524" s="36"/>
    </row>
    <row r="525" ht="15.75" customHeight="1">
      <c r="B525" s="36"/>
    </row>
    <row r="526" ht="15.75" customHeight="1">
      <c r="B526" s="36"/>
    </row>
    <row r="527" ht="15.75" customHeight="1">
      <c r="B527" s="36"/>
    </row>
    <row r="528" ht="15.75" customHeight="1">
      <c r="B528" s="36"/>
    </row>
    <row r="529" ht="15.75" customHeight="1">
      <c r="B529" s="36"/>
    </row>
    <row r="530" ht="15.75" customHeight="1">
      <c r="B530" s="36"/>
    </row>
    <row r="531" ht="15.75" customHeight="1">
      <c r="B531" s="36"/>
    </row>
    <row r="532" ht="15.75" customHeight="1">
      <c r="B532" s="36"/>
    </row>
    <row r="533" ht="15.75" customHeight="1">
      <c r="B533" s="36"/>
    </row>
    <row r="534" ht="15.75" customHeight="1">
      <c r="B534" s="36"/>
    </row>
    <row r="535" ht="15.75" customHeight="1">
      <c r="B535" s="36"/>
    </row>
    <row r="536" ht="15.75" customHeight="1">
      <c r="B536" s="36"/>
    </row>
    <row r="537" ht="15.75" customHeight="1">
      <c r="B537" s="36"/>
    </row>
    <row r="538" ht="15.75" customHeight="1">
      <c r="B538" s="36"/>
    </row>
    <row r="539" ht="15.75" customHeight="1">
      <c r="B539" s="36"/>
    </row>
    <row r="540" ht="15.75" customHeight="1">
      <c r="B540" s="36"/>
    </row>
    <row r="541" ht="15.75" customHeight="1">
      <c r="B541" s="36"/>
    </row>
    <row r="542" ht="15.75" customHeight="1">
      <c r="B542" s="36"/>
    </row>
    <row r="543" ht="15.75" customHeight="1">
      <c r="B543" s="36"/>
    </row>
    <row r="544" ht="15.75" customHeight="1">
      <c r="B544" s="36"/>
    </row>
    <row r="545" ht="15.75" customHeight="1">
      <c r="B545" s="36"/>
    </row>
    <row r="546" ht="15.75" customHeight="1">
      <c r="B546" s="36"/>
    </row>
    <row r="547" ht="15.75" customHeight="1">
      <c r="B547" s="36"/>
    </row>
    <row r="548" ht="15.75" customHeight="1">
      <c r="B548" s="36"/>
    </row>
    <row r="549" ht="15.75" customHeight="1">
      <c r="B549" s="36"/>
    </row>
    <row r="550" ht="15.75" customHeight="1">
      <c r="B550" s="36"/>
    </row>
    <row r="551" ht="15.75" customHeight="1">
      <c r="B551" s="36"/>
    </row>
    <row r="552" ht="15.75" customHeight="1">
      <c r="B552" s="36"/>
    </row>
    <row r="553" ht="15.75" customHeight="1">
      <c r="B553" s="36"/>
    </row>
    <row r="554" ht="15.75" customHeight="1">
      <c r="B554" s="36"/>
    </row>
    <row r="555" ht="15.75" customHeight="1">
      <c r="B555" s="36"/>
    </row>
    <row r="556" ht="15.75" customHeight="1">
      <c r="B556" s="36"/>
    </row>
    <row r="557" ht="15.75" customHeight="1">
      <c r="B557" s="36"/>
    </row>
    <row r="558" ht="15.75" customHeight="1">
      <c r="B558" s="36"/>
    </row>
    <row r="559" ht="15.75" customHeight="1">
      <c r="B559" s="36"/>
    </row>
    <row r="560" ht="15.75" customHeight="1">
      <c r="B560" s="36"/>
    </row>
    <row r="561" ht="15.75" customHeight="1">
      <c r="B561" s="36"/>
    </row>
    <row r="562" ht="15.75" customHeight="1">
      <c r="B562" s="36"/>
    </row>
    <row r="563" ht="15.75" customHeight="1">
      <c r="B563" s="36"/>
    </row>
    <row r="564" ht="15.75" customHeight="1">
      <c r="B564" s="36"/>
    </row>
    <row r="565" ht="15.75" customHeight="1">
      <c r="B565" s="36"/>
    </row>
    <row r="566" ht="15.75" customHeight="1">
      <c r="B566" s="36"/>
    </row>
    <row r="567" ht="15.75" customHeight="1">
      <c r="B567" s="36"/>
    </row>
    <row r="568" ht="15.75" customHeight="1">
      <c r="B568" s="36"/>
    </row>
    <row r="569" ht="15.75" customHeight="1">
      <c r="B569" s="36"/>
    </row>
    <row r="570" ht="15.75" customHeight="1">
      <c r="B570" s="36"/>
    </row>
    <row r="571" ht="15.75" customHeight="1">
      <c r="B571" s="36"/>
    </row>
    <row r="572" ht="15.75" customHeight="1">
      <c r="B572" s="36"/>
    </row>
    <row r="573" ht="15.75" customHeight="1">
      <c r="B573" s="36"/>
    </row>
    <row r="574" ht="15.75" customHeight="1">
      <c r="B574" s="36"/>
    </row>
    <row r="575" ht="15.75" customHeight="1">
      <c r="B575" s="36"/>
    </row>
    <row r="576" ht="15.75" customHeight="1">
      <c r="B576" s="36"/>
    </row>
    <row r="577" ht="15.75" customHeight="1">
      <c r="B577" s="36"/>
    </row>
    <row r="578" ht="15.75" customHeight="1">
      <c r="B578" s="36"/>
    </row>
    <row r="579" ht="15.75" customHeight="1">
      <c r="B579" s="36"/>
    </row>
    <row r="580" ht="15.75" customHeight="1">
      <c r="B580" s="36"/>
    </row>
    <row r="581" ht="15.75" customHeight="1">
      <c r="B581" s="36"/>
    </row>
    <row r="582" ht="15.75" customHeight="1">
      <c r="B582" s="36"/>
    </row>
    <row r="583" ht="15.75" customHeight="1">
      <c r="B583" s="36"/>
    </row>
    <row r="584" ht="15.75" customHeight="1">
      <c r="B584" s="36"/>
    </row>
    <row r="585" ht="15.75" customHeight="1">
      <c r="B585" s="36"/>
    </row>
    <row r="586" ht="15.75" customHeight="1">
      <c r="B586" s="36"/>
    </row>
    <row r="587" ht="15.75" customHeight="1">
      <c r="B587" s="36"/>
    </row>
    <row r="588" ht="15.75" customHeight="1">
      <c r="B588" s="36"/>
    </row>
    <row r="589" ht="15.75" customHeight="1">
      <c r="B589" s="36"/>
    </row>
    <row r="590" ht="15.75" customHeight="1">
      <c r="B590" s="36"/>
    </row>
    <row r="591" ht="15.75" customHeight="1">
      <c r="B591" s="36"/>
    </row>
    <row r="592" ht="15.75" customHeight="1">
      <c r="B592" s="36"/>
    </row>
    <row r="593" ht="15.75" customHeight="1">
      <c r="B593" s="36"/>
    </row>
    <row r="594" ht="15.75" customHeight="1">
      <c r="B594" s="36"/>
    </row>
    <row r="595" ht="15.75" customHeight="1">
      <c r="B595" s="36"/>
    </row>
    <row r="596" ht="15.75" customHeight="1">
      <c r="B596" s="36"/>
    </row>
    <row r="597" ht="15.75" customHeight="1">
      <c r="B597" s="36"/>
    </row>
    <row r="598" ht="15.75" customHeight="1">
      <c r="B598" s="36"/>
    </row>
    <row r="599" ht="15.75" customHeight="1">
      <c r="B599" s="36"/>
    </row>
    <row r="600" ht="15.75" customHeight="1">
      <c r="B600" s="36"/>
    </row>
    <row r="601" ht="15.75" customHeight="1">
      <c r="B601" s="36"/>
    </row>
    <row r="602" ht="15.75" customHeight="1">
      <c r="B602" s="36"/>
    </row>
    <row r="603" ht="15.75" customHeight="1">
      <c r="B603" s="36"/>
    </row>
    <row r="604" ht="15.75" customHeight="1">
      <c r="B604" s="36"/>
    </row>
    <row r="605" ht="15.75" customHeight="1">
      <c r="B605" s="36"/>
    </row>
    <row r="606" ht="15.75" customHeight="1">
      <c r="B606" s="36"/>
    </row>
    <row r="607" ht="15.75" customHeight="1">
      <c r="B607" s="36"/>
    </row>
    <row r="608" ht="15.75" customHeight="1">
      <c r="B608" s="36"/>
    </row>
    <row r="609" ht="15.75" customHeight="1">
      <c r="B609" s="36"/>
    </row>
    <row r="610" ht="15.75" customHeight="1">
      <c r="B610" s="36"/>
    </row>
    <row r="611" ht="15.75" customHeight="1">
      <c r="B611" s="36"/>
    </row>
    <row r="612" ht="15.75" customHeight="1">
      <c r="B612" s="36"/>
    </row>
    <row r="613" ht="15.75" customHeight="1">
      <c r="B613" s="36"/>
    </row>
    <row r="614" ht="15.75" customHeight="1">
      <c r="B614" s="36"/>
    </row>
    <row r="615" ht="15.75" customHeight="1">
      <c r="B615" s="36"/>
    </row>
    <row r="616" ht="15.75" customHeight="1">
      <c r="B616" s="36"/>
    </row>
    <row r="617" ht="15.75" customHeight="1">
      <c r="B617" s="36"/>
    </row>
    <row r="618" ht="15.75" customHeight="1">
      <c r="B618" s="36"/>
    </row>
    <row r="619" ht="15.75" customHeight="1">
      <c r="B619" s="36"/>
    </row>
    <row r="620" ht="15.75" customHeight="1">
      <c r="B620" s="36"/>
    </row>
    <row r="621" ht="15.75" customHeight="1">
      <c r="B621" s="36"/>
    </row>
    <row r="622" ht="15.75" customHeight="1">
      <c r="B622" s="36"/>
    </row>
    <row r="623" ht="15.75" customHeight="1">
      <c r="B623" s="36"/>
    </row>
    <row r="624" ht="15.75" customHeight="1">
      <c r="B624" s="36"/>
    </row>
    <row r="625" ht="15.75" customHeight="1">
      <c r="B625" s="36"/>
    </row>
    <row r="626" ht="15.75" customHeight="1">
      <c r="B626" s="36"/>
    </row>
    <row r="627" ht="15.75" customHeight="1">
      <c r="B627" s="36"/>
    </row>
    <row r="628" ht="15.75" customHeight="1">
      <c r="B628" s="36"/>
    </row>
    <row r="629" ht="15.75" customHeight="1">
      <c r="B629" s="36"/>
    </row>
    <row r="630" ht="15.75" customHeight="1">
      <c r="B630" s="36"/>
    </row>
    <row r="631" ht="15.75" customHeight="1">
      <c r="B631" s="36"/>
    </row>
    <row r="632" ht="15.75" customHeight="1">
      <c r="B632" s="36"/>
    </row>
    <row r="633" ht="15.75" customHeight="1">
      <c r="B633" s="36"/>
    </row>
    <row r="634" ht="15.75" customHeight="1">
      <c r="B634" s="36"/>
    </row>
    <row r="635" ht="15.75" customHeight="1">
      <c r="B635" s="36"/>
    </row>
    <row r="636" ht="15.75" customHeight="1">
      <c r="B636" s="36"/>
    </row>
    <row r="637" ht="15.75" customHeight="1">
      <c r="B637" s="36"/>
    </row>
    <row r="638" ht="15.75" customHeight="1">
      <c r="B638" s="36"/>
    </row>
    <row r="639" ht="15.75" customHeight="1">
      <c r="B639" s="36"/>
    </row>
    <row r="640" ht="15.75" customHeight="1">
      <c r="B640" s="36"/>
    </row>
    <row r="641" ht="15.75" customHeight="1">
      <c r="B641" s="36"/>
    </row>
    <row r="642" ht="15.75" customHeight="1">
      <c r="B642" s="36"/>
    </row>
    <row r="643" ht="15.75" customHeight="1">
      <c r="B643" s="36"/>
    </row>
    <row r="644" ht="15.75" customHeight="1">
      <c r="B644" s="36"/>
    </row>
    <row r="645" ht="15.75" customHeight="1">
      <c r="B645" s="36"/>
    </row>
    <row r="646" ht="15.75" customHeight="1">
      <c r="B646" s="36"/>
    </row>
    <row r="647" ht="15.75" customHeight="1">
      <c r="B647" s="36"/>
    </row>
    <row r="648" ht="15.75" customHeight="1">
      <c r="B648" s="36"/>
    </row>
    <row r="649" ht="15.75" customHeight="1">
      <c r="B649" s="36"/>
    </row>
    <row r="650" ht="15.75" customHeight="1">
      <c r="B650" s="36"/>
    </row>
    <row r="651" ht="15.75" customHeight="1">
      <c r="B651" s="36"/>
    </row>
    <row r="652" ht="15.75" customHeight="1">
      <c r="B652" s="36"/>
    </row>
    <row r="653" ht="15.75" customHeight="1">
      <c r="B653" s="36"/>
    </row>
    <row r="654" ht="15.75" customHeight="1">
      <c r="B654" s="36"/>
    </row>
    <row r="655" ht="15.75" customHeight="1">
      <c r="B655" s="36"/>
    </row>
    <row r="656" ht="15.75" customHeight="1">
      <c r="B656" s="36"/>
    </row>
    <row r="657" ht="15.75" customHeight="1">
      <c r="B657" s="36"/>
    </row>
    <row r="658" ht="15.75" customHeight="1">
      <c r="B658" s="36"/>
    </row>
    <row r="659" ht="15.75" customHeight="1">
      <c r="B659" s="36"/>
    </row>
    <row r="660" ht="15.75" customHeight="1">
      <c r="B660" s="36"/>
    </row>
    <row r="661" ht="15.75" customHeight="1">
      <c r="B661" s="36"/>
    </row>
    <row r="662" ht="15.75" customHeight="1">
      <c r="B662" s="36"/>
    </row>
    <row r="663" ht="15.75" customHeight="1">
      <c r="B663" s="36"/>
    </row>
    <row r="664" ht="15.75" customHeight="1">
      <c r="B664" s="36"/>
    </row>
    <row r="665" ht="15.75" customHeight="1">
      <c r="B665" s="36"/>
    </row>
    <row r="666" ht="15.75" customHeight="1">
      <c r="B666" s="36"/>
    </row>
    <row r="667" ht="15.75" customHeight="1">
      <c r="B667" s="36"/>
    </row>
    <row r="668" ht="15.75" customHeight="1">
      <c r="B668" s="36"/>
    </row>
    <row r="669" ht="15.75" customHeight="1">
      <c r="B669" s="36"/>
    </row>
    <row r="670" ht="15.75" customHeight="1">
      <c r="B670" s="36"/>
    </row>
    <row r="671" ht="15.75" customHeight="1">
      <c r="B671" s="36"/>
    </row>
    <row r="672" ht="15.75" customHeight="1">
      <c r="B672" s="36"/>
    </row>
    <row r="673" ht="15.75" customHeight="1">
      <c r="B673" s="36"/>
    </row>
    <row r="674" ht="15.75" customHeight="1">
      <c r="B674" s="36"/>
    </row>
    <row r="675" ht="15.75" customHeight="1">
      <c r="B675" s="36"/>
    </row>
    <row r="676" ht="15.75" customHeight="1">
      <c r="B676" s="36"/>
    </row>
    <row r="677" ht="15.75" customHeight="1">
      <c r="B677" s="36"/>
    </row>
    <row r="678" ht="15.75" customHeight="1">
      <c r="B678" s="36"/>
    </row>
    <row r="679" ht="15.75" customHeight="1">
      <c r="B679" s="36"/>
    </row>
    <row r="680" ht="15.75" customHeight="1">
      <c r="B680" s="36"/>
    </row>
    <row r="681" ht="15.75" customHeight="1">
      <c r="B681" s="36"/>
    </row>
    <row r="682" ht="15.75" customHeight="1">
      <c r="B682" s="36"/>
    </row>
    <row r="683" ht="15.75" customHeight="1">
      <c r="B683" s="36"/>
    </row>
    <row r="684" ht="15.75" customHeight="1">
      <c r="B684" s="36"/>
    </row>
    <row r="685" ht="15.75" customHeight="1">
      <c r="B685" s="36"/>
    </row>
    <row r="686" ht="15.75" customHeight="1">
      <c r="B686" s="36"/>
    </row>
    <row r="687" ht="15.75" customHeight="1">
      <c r="B687" s="36"/>
    </row>
    <row r="688" ht="15.75" customHeight="1">
      <c r="B688" s="36"/>
    </row>
    <row r="689" ht="15.75" customHeight="1">
      <c r="B689" s="36"/>
    </row>
    <row r="690" ht="15.75" customHeight="1">
      <c r="B690" s="36"/>
    </row>
    <row r="691" ht="15.75" customHeight="1">
      <c r="B691" s="36"/>
    </row>
    <row r="692" ht="15.75" customHeight="1">
      <c r="B692" s="36"/>
    </row>
    <row r="693" ht="15.75" customHeight="1">
      <c r="B693" s="36"/>
    </row>
    <row r="694" ht="15.75" customHeight="1">
      <c r="B694" s="36"/>
    </row>
    <row r="695" ht="15.75" customHeight="1">
      <c r="B695" s="36"/>
    </row>
    <row r="696" ht="15.75" customHeight="1">
      <c r="B696" s="36"/>
    </row>
    <row r="697" ht="15.75" customHeight="1">
      <c r="B697" s="36"/>
    </row>
    <row r="698" ht="15.75" customHeight="1">
      <c r="B698" s="36"/>
    </row>
    <row r="699" ht="15.75" customHeight="1">
      <c r="B699" s="36"/>
    </row>
    <row r="700" ht="15.75" customHeight="1">
      <c r="B700" s="36"/>
    </row>
    <row r="701" ht="15.75" customHeight="1">
      <c r="B701" s="36"/>
    </row>
    <row r="702" ht="15.75" customHeight="1">
      <c r="B702" s="36"/>
    </row>
    <row r="703" ht="15.75" customHeight="1">
      <c r="B703" s="36"/>
    </row>
    <row r="704" ht="15.75" customHeight="1">
      <c r="B704" s="36"/>
    </row>
    <row r="705" ht="15.75" customHeight="1">
      <c r="B705" s="36"/>
    </row>
    <row r="706" ht="15.75" customHeight="1">
      <c r="B706" s="36"/>
    </row>
    <row r="707" ht="15.75" customHeight="1">
      <c r="B707" s="36"/>
    </row>
    <row r="708" ht="15.75" customHeight="1">
      <c r="B708" s="36"/>
    </row>
    <row r="709" ht="15.75" customHeight="1">
      <c r="B709" s="36"/>
    </row>
    <row r="710" ht="15.75" customHeight="1">
      <c r="B710" s="36"/>
    </row>
    <row r="711" ht="15.75" customHeight="1">
      <c r="B711" s="36"/>
    </row>
    <row r="712" ht="15.75" customHeight="1">
      <c r="B712" s="36"/>
    </row>
    <row r="713" ht="15.75" customHeight="1">
      <c r="B713" s="36"/>
    </row>
    <row r="714" ht="15.75" customHeight="1">
      <c r="B714" s="36"/>
    </row>
    <row r="715" ht="15.75" customHeight="1">
      <c r="B715" s="36"/>
    </row>
    <row r="716" ht="15.75" customHeight="1">
      <c r="B716" s="36"/>
    </row>
    <row r="717" ht="15.75" customHeight="1">
      <c r="B717" s="36"/>
    </row>
    <row r="718" ht="15.75" customHeight="1">
      <c r="B718" s="36"/>
    </row>
    <row r="719" ht="15.75" customHeight="1">
      <c r="B719" s="36"/>
    </row>
    <row r="720" ht="15.75" customHeight="1">
      <c r="B720" s="36"/>
    </row>
    <row r="721" ht="15.75" customHeight="1">
      <c r="B721" s="36"/>
    </row>
    <row r="722" ht="15.75" customHeight="1">
      <c r="B722" s="36"/>
    </row>
    <row r="723" ht="15.75" customHeight="1">
      <c r="B723" s="36"/>
    </row>
    <row r="724" ht="15.75" customHeight="1">
      <c r="B724" s="36"/>
    </row>
    <row r="725" ht="15.75" customHeight="1">
      <c r="B725" s="36"/>
    </row>
    <row r="726" ht="15.75" customHeight="1">
      <c r="B726" s="36"/>
    </row>
    <row r="727" ht="15.75" customHeight="1">
      <c r="B727" s="36"/>
    </row>
    <row r="728" ht="15.75" customHeight="1">
      <c r="B728" s="36"/>
    </row>
    <row r="729" ht="15.75" customHeight="1">
      <c r="B729" s="36"/>
    </row>
    <row r="730" ht="15.75" customHeight="1">
      <c r="B730" s="36"/>
    </row>
    <row r="731" ht="15.75" customHeight="1">
      <c r="B731" s="36"/>
    </row>
    <row r="732" ht="15.75" customHeight="1">
      <c r="B732" s="36"/>
    </row>
    <row r="733" ht="15.75" customHeight="1">
      <c r="B733" s="36"/>
    </row>
    <row r="734" ht="15.75" customHeight="1">
      <c r="B734" s="36"/>
    </row>
    <row r="735" ht="15.75" customHeight="1">
      <c r="B735" s="36"/>
    </row>
    <row r="736" ht="15.75" customHeight="1">
      <c r="B736" s="36"/>
    </row>
    <row r="737" ht="15.75" customHeight="1">
      <c r="B737" s="36"/>
    </row>
    <row r="738" ht="15.75" customHeight="1">
      <c r="B738" s="36"/>
    </row>
    <row r="739" ht="15.75" customHeight="1">
      <c r="B739" s="36"/>
    </row>
    <row r="740" ht="15.75" customHeight="1">
      <c r="B740" s="36"/>
    </row>
    <row r="741" ht="15.75" customHeight="1">
      <c r="B741" s="36"/>
    </row>
    <row r="742" ht="15.75" customHeight="1">
      <c r="B742" s="36"/>
    </row>
    <row r="743" ht="15.75" customHeight="1">
      <c r="B743" s="36"/>
    </row>
    <row r="744" ht="15.75" customHeight="1">
      <c r="B744" s="36"/>
    </row>
    <row r="745" ht="15.75" customHeight="1">
      <c r="B745" s="36"/>
    </row>
    <row r="746" ht="15.75" customHeight="1">
      <c r="B746" s="36"/>
    </row>
    <row r="747" ht="15.75" customHeight="1">
      <c r="B747" s="36"/>
    </row>
    <row r="748" ht="15.75" customHeight="1">
      <c r="B748" s="36"/>
    </row>
    <row r="749" ht="15.75" customHeight="1">
      <c r="B749" s="36"/>
    </row>
    <row r="750" ht="15.75" customHeight="1">
      <c r="B750" s="36"/>
    </row>
    <row r="751" ht="15.75" customHeight="1">
      <c r="B751" s="36"/>
    </row>
    <row r="752" ht="15.75" customHeight="1">
      <c r="B752" s="36"/>
    </row>
    <row r="753" ht="15.75" customHeight="1">
      <c r="B753" s="36"/>
    </row>
    <row r="754" ht="15.75" customHeight="1">
      <c r="B754" s="36"/>
    </row>
    <row r="755" ht="15.75" customHeight="1">
      <c r="B755" s="36"/>
    </row>
    <row r="756" ht="15.75" customHeight="1">
      <c r="B756" s="36"/>
    </row>
    <row r="757" ht="15.75" customHeight="1">
      <c r="B757" s="36"/>
    </row>
    <row r="758" ht="15.75" customHeight="1">
      <c r="B758" s="36"/>
    </row>
    <row r="759" ht="15.75" customHeight="1">
      <c r="B759" s="36"/>
    </row>
    <row r="760" ht="15.75" customHeight="1">
      <c r="B760" s="36"/>
    </row>
    <row r="761" ht="15.75" customHeight="1">
      <c r="B761" s="36"/>
    </row>
    <row r="762" ht="15.75" customHeight="1">
      <c r="B762" s="36"/>
    </row>
    <row r="763" ht="15.75" customHeight="1">
      <c r="B763" s="36"/>
    </row>
    <row r="764" ht="15.75" customHeight="1">
      <c r="B764" s="36"/>
    </row>
    <row r="765" ht="15.75" customHeight="1">
      <c r="B765" s="36"/>
    </row>
    <row r="766" ht="15.75" customHeight="1">
      <c r="B766" s="36"/>
    </row>
    <row r="767" ht="15.75" customHeight="1">
      <c r="B767" s="36"/>
    </row>
    <row r="768" ht="15.75" customHeight="1">
      <c r="B768" s="36"/>
    </row>
    <row r="769" ht="15.75" customHeight="1">
      <c r="B769" s="36"/>
    </row>
    <row r="770" ht="15.75" customHeight="1">
      <c r="B770" s="36"/>
    </row>
    <row r="771" ht="15.75" customHeight="1">
      <c r="B771" s="36"/>
    </row>
    <row r="772" ht="15.75" customHeight="1">
      <c r="B772" s="36"/>
    </row>
    <row r="773" ht="15.75" customHeight="1">
      <c r="B773" s="36"/>
    </row>
    <row r="774" ht="15.75" customHeight="1">
      <c r="B774" s="36"/>
    </row>
    <row r="775" ht="15.75" customHeight="1">
      <c r="B775" s="36"/>
    </row>
    <row r="776" ht="15.75" customHeight="1">
      <c r="B776" s="36"/>
    </row>
    <row r="777" ht="15.75" customHeight="1">
      <c r="B777" s="36"/>
    </row>
    <row r="778" ht="15.75" customHeight="1">
      <c r="B778" s="36"/>
    </row>
    <row r="779" ht="15.75" customHeight="1">
      <c r="B779" s="36"/>
    </row>
    <row r="780" ht="15.75" customHeight="1">
      <c r="B780" s="36"/>
    </row>
    <row r="781" ht="15.75" customHeight="1">
      <c r="B781" s="36"/>
    </row>
    <row r="782" ht="15.75" customHeight="1">
      <c r="B782" s="36"/>
    </row>
    <row r="783" ht="15.75" customHeight="1">
      <c r="B783" s="36"/>
    </row>
    <row r="784" ht="15.75" customHeight="1">
      <c r="B784" s="36"/>
    </row>
    <row r="785" ht="15.75" customHeight="1">
      <c r="B785" s="36"/>
    </row>
    <row r="786" ht="15.75" customHeight="1">
      <c r="B786" s="36"/>
    </row>
    <row r="787" ht="15.75" customHeight="1">
      <c r="B787" s="36"/>
    </row>
    <row r="788" ht="15.75" customHeight="1">
      <c r="B788" s="36"/>
    </row>
    <row r="789" ht="15.75" customHeight="1">
      <c r="B789" s="36"/>
    </row>
    <row r="790" ht="15.75" customHeight="1">
      <c r="B790" s="36"/>
    </row>
    <row r="791" ht="15.75" customHeight="1">
      <c r="B791" s="36"/>
    </row>
    <row r="792" ht="15.75" customHeight="1">
      <c r="B792" s="36"/>
    </row>
    <row r="793" ht="15.75" customHeight="1">
      <c r="B793" s="36"/>
    </row>
    <row r="794" ht="15.75" customHeight="1">
      <c r="B794" s="36"/>
    </row>
    <row r="795" ht="15.75" customHeight="1">
      <c r="B795" s="36"/>
    </row>
    <row r="796" ht="15.75" customHeight="1">
      <c r="B796" s="36"/>
    </row>
    <row r="797" ht="15.75" customHeight="1">
      <c r="B797" s="36"/>
    </row>
    <row r="798" ht="15.75" customHeight="1">
      <c r="B798" s="36"/>
    </row>
    <row r="799" ht="15.75" customHeight="1">
      <c r="B799" s="36"/>
    </row>
    <row r="800" ht="15.75" customHeight="1">
      <c r="B800" s="36"/>
    </row>
    <row r="801" ht="15.75" customHeight="1">
      <c r="B801" s="36"/>
    </row>
    <row r="802" ht="15.75" customHeight="1">
      <c r="B802" s="36"/>
    </row>
    <row r="803" ht="15.75" customHeight="1">
      <c r="B803" s="36"/>
    </row>
    <row r="804" ht="15.75" customHeight="1">
      <c r="B804" s="36"/>
    </row>
    <row r="805" ht="15.75" customHeight="1">
      <c r="B805" s="36"/>
    </row>
    <row r="806" ht="15.75" customHeight="1">
      <c r="B806" s="36"/>
    </row>
    <row r="807" ht="15.75" customHeight="1">
      <c r="B807" s="36"/>
    </row>
    <row r="808" ht="15.75" customHeight="1">
      <c r="B808" s="36"/>
    </row>
    <row r="809" ht="15.75" customHeight="1">
      <c r="B809" s="36"/>
    </row>
    <row r="810" ht="15.75" customHeight="1">
      <c r="B810" s="36"/>
    </row>
    <row r="811" ht="15.75" customHeight="1">
      <c r="B811" s="36"/>
    </row>
    <row r="812" ht="15.75" customHeight="1">
      <c r="B812" s="36"/>
    </row>
    <row r="813" ht="15.75" customHeight="1">
      <c r="B813" s="36"/>
    </row>
    <row r="814" ht="15.75" customHeight="1">
      <c r="B814" s="36"/>
    </row>
    <row r="815" ht="15.75" customHeight="1">
      <c r="B815" s="36"/>
    </row>
    <row r="816" ht="15.75" customHeight="1">
      <c r="B816" s="36"/>
    </row>
    <row r="817" ht="15.75" customHeight="1">
      <c r="B817" s="36"/>
    </row>
    <row r="818" ht="15.75" customHeight="1">
      <c r="B818" s="36"/>
    </row>
    <row r="819" ht="15.75" customHeight="1">
      <c r="B819" s="36"/>
    </row>
    <row r="820" ht="15.75" customHeight="1">
      <c r="B820" s="36"/>
    </row>
    <row r="821" ht="15.75" customHeight="1">
      <c r="B821" s="36"/>
    </row>
    <row r="822" ht="15.75" customHeight="1">
      <c r="B822" s="36"/>
    </row>
    <row r="823" ht="15.75" customHeight="1">
      <c r="B823" s="36"/>
    </row>
    <row r="824" ht="15.75" customHeight="1">
      <c r="B824" s="36"/>
    </row>
    <row r="825" ht="15.75" customHeight="1">
      <c r="B825" s="36"/>
    </row>
    <row r="826" ht="15.75" customHeight="1">
      <c r="B826" s="36"/>
    </row>
    <row r="827" ht="15.75" customHeight="1">
      <c r="B827" s="36"/>
    </row>
    <row r="828" ht="15.75" customHeight="1">
      <c r="B828" s="36"/>
    </row>
    <row r="829" ht="15.75" customHeight="1">
      <c r="B829" s="36"/>
    </row>
    <row r="830" ht="15.75" customHeight="1">
      <c r="B830" s="36"/>
    </row>
    <row r="831" ht="15.75" customHeight="1">
      <c r="B831" s="36"/>
    </row>
    <row r="832" ht="15.75" customHeight="1">
      <c r="B832" s="36"/>
    </row>
    <row r="833" ht="15.75" customHeight="1">
      <c r="B833" s="36"/>
    </row>
    <row r="834" ht="15.75" customHeight="1">
      <c r="B834" s="36"/>
    </row>
    <row r="835" ht="15.75" customHeight="1">
      <c r="B835" s="36"/>
    </row>
    <row r="836" ht="15.75" customHeight="1">
      <c r="B836" s="36"/>
    </row>
    <row r="837" ht="15.75" customHeight="1">
      <c r="B837" s="36"/>
    </row>
    <row r="838" ht="15.75" customHeight="1">
      <c r="B838" s="36"/>
    </row>
    <row r="839" ht="15.75" customHeight="1">
      <c r="B839" s="36"/>
    </row>
    <row r="840" ht="15.75" customHeight="1">
      <c r="B840" s="36"/>
    </row>
    <row r="841" ht="15.75" customHeight="1">
      <c r="B841" s="36"/>
    </row>
    <row r="842" ht="15.75" customHeight="1">
      <c r="B842" s="36"/>
    </row>
    <row r="843" ht="15.75" customHeight="1">
      <c r="B843" s="36"/>
    </row>
    <row r="844" ht="15.75" customHeight="1">
      <c r="B844" s="36"/>
    </row>
    <row r="845" ht="15.75" customHeight="1">
      <c r="B845" s="36"/>
    </row>
    <row r="846" ht="15.75" customHeight="1">
      <c r="B846" s="36"/>
    </row>
    <row r="847" ht="15.75" customHeight="1">
      <c r="B847" s="36"/>
    </row>
    <row r="848" ht="15.75" customHeight="1">
      <c r="B848" s="36"/>
    </row>
    <row r="849" ht="15.75" customHeight="1">
      <c r="B849" s="36"/>
    </row>
    <row r="850" ht="15.75" customHeight="1">
      <c r="B850" s="36"/>
    </row>
    <row r="851" ht="15.75" customHeight="1">
      <c r="B851" s="36"/>
    </row>
    <row r="852" ht="15.75" customHeight="1">
      <c r="B852" s="36"/>
    </row>
    <row r="853" ht="15.75" customHeight="1">
      <c r="B853" s="36"/>
    </row>
    <row r="854" ht="15.75" customHeight="1">
      <c r="B854" s="36"/>
    </row>
    <row r="855" ht="15.75" customHeight="1">
      <c r="B855" s="36"/>
    </row>
    <row r="856" ht="15.75" customHeight="1">
      <c r="B856" s="36"/>
    </row>
    <row r="857" ht="15.75" customHeight="1">
      <c r="B857" s="36"/>
    </row>
    <row r="858" ht="15.75" customHeight="1">
      <c r="B858" s="36"/>
    </row>
    <row r="859" ht="15.75" customHeight="1">
      <c r="B859" s="36"/>
    </row>
    <row r="860" ht="15.75" customHeight="1">
      <c r="B860" s="36"/>
    </row>
    <row r="861" ht="15.75" customHeight="1">
      <c r="B861" s="36"/>
    </row>
    <row r="862" ht="15.75" customHeight="1">
      <c r="B862" s="36"/>
    </row>
    <row r="863" ht="15.75" customHeight="1">
      <c r="B863" s="36"/>
    </row>
    <row r="864" ht="15.75" customHeight="1">
      <c r="B864" s="36"/>
    </row>
    <row r="865" ht="15.75" customHeight="1">
      <c r="B865" s="36"/>
    </row>
    <row r="866" ht="15.75" customHeight="1">
      <c r="B866" s="36"/>
    </row>
    <row r="867" ht="15.75" customHeight="1">
      <c r="B867" s="36"/>
    </row>
    <row r="868" ht="15.75" customHeight="1">
      <c r="B868" s="36"/>
    </row>
    <row r="869" ht="15.75" customHeight="1">
      <c r="B869" s="36"/>
    </row>
    <row r="870" ht="15.75" customHeight="1">
      <c r="B870" s="36"/>
    </row>
    <row r="871" ht="15.75" customHeight="1">
      <c r="B871" s="36"/>
    </row>
    <row r="872" ht="15.75" customHeight="1">
      <c r="B872" s="36"/>
    </row>
    <row r="873" ht="15.75" customHeight="1">
      <c r="B873" s="36"/>
    </row>
    <row r="874" ht="15.75" customHeight="1">
      <c r="B874" s="36"/>
    </row>
    <row r="875" ht="15.75" customHeight="1">
      <c r="B875" s="36"/>
    </row>
    <row r="876" ht="15.75" customHeight="1">
      <c r="B876" s="36"/>
    </row>
    <row r="877" ht="15.75" customHeight="1">
      <c r="B877" s="36"/>
    </row>
    <row r="878" ht="15.75" customHeight="1">
      <c r="B878" s="36"/>
    </row>
    <row r="879" ht="15.75" customHeight="1">
      <c r="B879" s="36"/>
    </row>
    <row r="880" ht="15.75" customHeight="1">
      <c r="B880" s="36"/>
    </row>
    <row r="881" ht="15.75" customHeight="1">
      <c r="B881" s="36"/>
    </row>
    <row r="882" ht="15.75" customHeight="1">
      <c r="B882" s="36"/>
    </row>
    <row r="883" ht="15.75" customHeight="1">
      <c r="B883" s="36"/>
    </row>
    <row r="884" ht="15.75" customHeight="1">
      <c r="B884" s="36"/>
    </row>
    <row r="885" ht="15.75" customHeight="1">
      <c r="B885" s="36"/>
    </row>
    <row r="886" ht="15.75" customHeight="1">
      <c r="B886" s="36"/>
    </row>
    <row r="887" ht="15.75" customHeight="1">
      <c r="B887" s="36"/>
    </row>
    <row r="888" ht="15.75" customHeight="1">
      <c r="B888" s="36"/>
    </row>
    <row r="889" ht="15.75" customHeight="1">
      <c r="B889" s="36"/>
    </row>
    <row r="890" ht="15.75" customHeight="1">
      <c r="B890" s="36"/>
    </row>
    <row r="891" ht="15.75" customHeight="1">
      <c r="B891" s="36"/>
    </row>
    <row r="892" ht="15.75" customHeight="1">
      <c r="B892" s="36"/>
    </row>
    <row r="893" ht="15.75" customHeight="1">
      <c r="B893" s="36"/>
    </row>
    <row r="894" ht="15.75" customHeight="1">
      <c r="B894" s="36"/>
    </row>
    <row r="895" ht="15.75" customHeight="1">
      <c r="B895" s="36"/>
    </row>
    <row r="896" ht="15.75" customHeight="1">
      <c r="B896" s="36"/>
    </row>
    <row r="897" ht="15.75" customHeight="1">
      <c r="B897" s="36"/>
    </row>
    <row r="898" ht="15.75" customHeight="1">
      <c r="B898" s="36"/>
    </row>
    <row r="899" ht="15.75" customHeight="1">
      <c r="B899" s="36"/>
    </row>
    <row r="900" ht="15.75" customHeight="1">
      <c r="B900" s="36"/>
    </row>
    <row r="901" ht="15.75" customHeight="1">
      <c r="B901" s="36"/>
    </row>
    <row r="902" ht="15.75" customHeight="1">
      <c r="B902" s="36"/>
    </row>
    <row r="903" ht="15.75" customHeight="1">
      <c r="B903" s="36"/>
    </row>
    <row r="904" ht="15.75" customHeight="1">
      <c r="B904" s="36"/>
    </row>
    <row r="905" ht="15.75" customHeight="1">
      <c r="B905" s="36"/>
    </row>
    <row r="906" ht="15.75" customHeight="1">
      <c r="B906" s="36"/>
    </row>
    <row r="907" ht="15.75" customHeight="1">
      <c r="B907" s="36"/>
    </row>
    <row r="908" ht="15.75" customHeight="1">
      <c r="B908" s="36"/>
    </row>
    <row r="909" ht="15.75" customHeight="1">
      <c r="B909" s="36"/>
    </row>
    <row r="910" ht="15.75" customHeight="1">
      <c r="B910" s="36"/>
    </row>
    <row r="911" ht="15.75" customHeight="1">
      <c r="B911" s="36"/>
    </row>
    <row r="912" ht="15.75" customHeight="1">
      <c r="B912" s="36"/>
    </row>
    <row r="913" ht="15.75" customHeight="1">
      <c r="B913" s="36"/>
    </row>
    <row r="914" ht="15.75" customHeight="1">
      <c r="B914" s="36"/>
    </row>
    <row r="915" ht="15.75" customHeight="1">
      <c r="B915" s="36"/>
    </row>
    <row r="916" ht="15.75" customHeight="1">
      <c r="B916" s="36"/>
    </row>
    <row r="917" ht="15.75" customHeight="1">
      <c r="B917" s="36"/>
    </row>
    <row r="918" ht="15.75" customHeight="1">
      <c r="B918" s="36"/>
    </row>
    <row r="919" ht="15.75" customHeight="1">
      <c r="B919" s="36"/>
    </row>
    <row r="920" ht="15.75" customHeight="1">
      <c r="B920" s="36"/>
    </row>
    <row r="921" ht="15.75" customHeight="1">
      <c r="B921" s="36"/>
    </row>
    <row r="922" ht="15.75" customHeight="1">
      <c r="B922" s="36"/>
    </row>
    <row r="923" ht="15.75" customHeight="1">
      <c r="B923" s="36"/>
    </row>
    <row r="924" ht="15.75" customHeight="1">
      <c r="B924" s="36"/>
    </row>
    <row r="925" ht="15.75" customHeight="1">
      <c r="B925" s="36"/>
    </row>
    <row r="926" ht="15.75" customHeight="1">
      <c r="B926" s="36"/>
    </row>
    <row r="927" ht="15.75" customHeight="1">
      <c r="B927" s="36"/>
    </row>
    <row r="928" ht="15.75" customHeight="1">
      <c r="B928" s="36"/>
    </row>
    <row r="929" ht="15.75" customHeight="1">
      <c r="B929" s="36"/>
    </row>
    <row r="930" ht="15.75" customHeight="1">
      <c r="B930" s="36"/>
    </row>
    <row r="931" ht="15.75" customHeight="1">
      <c r="B931" s="36"/>
    </row>
    <row r="932" ht="15.75" customHeight="1">
      <c r="B932" s="36"/>
    </row>
    <row r="933" ht="15.75" customHeight="1">
      <c r="B933" s="36"/>
    </row>
    <row r="934" ht="15.75" customHeight="1">
      <c r="B934" s="36"/>
    </row>
    <row r="935" ht="15.75" customHeight="1">
      <c r="B935" s="36"/>
    </row>
    <row r="936" ht="15.75" customHeight="1">
      <c r="B936" s="36"/>
    </row>
    <row r="937" ht="15.75" customHeight="1">
      <c r="B937" s="36"/>
    </row>
    <row r="938" ht="15.75" customHeight="1">
      <c r="B938" s="36"/>
    </row>
    <row r="939" ht="15.75" customHeight="1">
      <c r="B939" s="36"/>
    </row>
    <row r="940" ht="15.75" customHeight="1">
      <c r="B940" s="36"/>
    </row>
    <row r="941" ht="15.75" customHeight="1">
      <c r="B941" s="36"/>
    </row>
    <row r="942" ht="15.75" customHeight="1">
      <c r="B942" s="36"/>
    </row>
    <row r="943" ht="15.75" customHeight="1">
      <c r="B943" s="36"/>
    </row>
    <row r="944" ht="15.75" customHeight="1">
      <c r="B944" s="36"/>
    </row>
    <row r="945" ht="15.75" customHeight="1">
      <c r="B945" s="36"/>
    </row>
    <row r="946" ht="15.75" customHeight="1">
      <c r="B946" s="36"/>
    </row>
    <row r="947" ht="15.75" customHeight="1">
      <c r="B947" s="36"/>
    </row>
    <row r="948" ht="15.75" customHeight="1">
      <c r="B948" s="36"/>
    </row>
    <row r="949" ht="15.75" customHeight="1">
      <c r="B949" s="36"/>
    </row>
    <row r="950" ht="15.75" customHeight="1">
      <c r="B950" s="36"/>
    </row>
    <row r="951" ht="15.75" customHeight="1">
      <c r="B951" s="36"/>
    </row>
    <row r="952" ht="15.75" customHeight="1">
      <c r="B952" s="36"/>
    </row>
    <row r="953" ht="15.75" customHeight="1">
      <c r="B953" s="36"/>
    </row>
    <row r="954" ht="15.75" customHeight="1">
      <c r="B954" s="36"/>
    </row>
    <row r="955" ht="15.75" customHeight="1">
      <c r="B955" s="36"/>
    </row>
    <row r="956" ht="15.75" customHeight="1">
      <c r="B956" s="36"/>
    </row>
    <row r="957" ht="15.75" customHeight="1">
      <c r="B957" s="36"/>
    </row>
    <row r="958" ht="15.75" customHeight="1">
      <c r="B958" s="36"/>
    </row>
    <row r="959" ht="15.75" customHeight="1">
      <c r="B959" s="36"/>
    </row>
    <row r="960" ht="15.75" customHeight="1">
      <c r="B960" s="36"/>
    </row>
    <row r="961" ht="15.75" customHeight="1">
      <c r="B961" s="36"/>
    </row>
    <row r="962" ht="15.75" customHeight="1">
      <c r="B962" s="36"/>
    </row>
    <row r="963" ht="15.75" customHeight="1">
      <c r="B963" s="36"/>
    </row>
    <row r="964" ht="15.75" customHeight="1">
      <c r="B964" s="36"/>
    </row>
    <row r="965" ht="15.75" customHeight="1">
      <c r="B965" s="36"/>
    </row>
    <row r="966" ht="15.75" customHeight="1">
      <c r="B966" s="36"/>
    </row>
    <row r="967" ht="15.75" customHeight="1">
      <c r="B967" s="36"/>
    </row>
    <row r="968" ht="15.75" customHeight="1">
      <c r="B968" s="36"/>
    </row>
    <row r="969" ht="15.75" customHeight="1">
      <c r="B969" s="36"/>
    </row>
    <row r="970" ht="15.75" customHeight="1">
      <c r="B970" s="36"/>
    </row>
    <row r="971" ht="15.75" customHeight="1">
      <c r="B971" s="36"/>
    </row>
    <row r="972" ht="15.75" customHeight="1">
      <c r="B972" s="36"/>
    </row>
    <row r="973" ht="15.75" customHeight="1">
      <c r="B973" s="36"/>
    </row>
    <row r="974" ht="15.75" customHeight="1">
      <c r="B974" s="36"/>
    </row>
    <row r="975" ht="15.75" customHeight="1">
      <c r="B975" s="36"/>
    </row>
    <row r="976" ht="15.75" customHeight="1">
      <c r="B976" s="36"/>
    </row>
    <row r="977" ht="15.75" customHeight="1">
      <c r="B977" s="36"/>
    </row>
    <row r="978" ht="15.75" customHeight="1">
      <c r="B978" s="36"/>
    </row>
    <row r="979" ht="15.75" customHeight="1">
      <c r="B979" s="36"/>
    </row>
    <row r="980" ht="15.75" customHeight="1">
      <c r="B980" s="36"/>
    </row>
    <row r="981" ht="15.75" customHeight="1">
      <c r="B981" s="36"/>
    </row>
    <row r="982" ht="15.75" customHeight="1">
      <c r="B982" s="36"/>
    </row>
    <row r="983" ht="15.75" customHeight="1">
      <c r="B983" s="36"/>
    </row>
    <row r="984" ht="15.75" customHeight="1">
      <c r="B984" s="36"/>
    </row>
    <row r="985" ht="15.75" customHeight="1">
      <c r="B985" s="36"/>
    </row>
    <row r="986" ht="15.75" customHeight="1">
      <c r="B986" s="36"/>
    </row>
    <row r="987" ht="15.75" customHeight="1">
      <c r="B987" s="36"/>
    </row>
    <row r="988" ht="15.75" customHeight="1">
      <c r="B988" s="36"/>
    </row>
    <row r="989" ht="15.75" customHeight="1">
      <c r="B989" s="36"/>
    </row>
    <row r="990" ht="15.75" customHeight="1">
      <c r="B990" s="36"/>
    </row>
    <row r="991" ht="15.75" customHeight="1">
      <c r="B991" s="36"/>
    </row>
    <row r="992" ht="15.75" customHeight="1">
      <c r="B992" s="36"/>
    </row>
    <row r="993" ht="15.75" customHeight="1">
      <c r="B993" s="36"/>
    </row>
    <row r="994" ht="15.75" customHeight="1">
      <c r="B994" s="36"/>
    </row>
    <row r="995" ht="15.75" customHeight="1">
      <c r="B995" s="36"/>
    </row>
    <row r="996" ht="15.75" customHeight="1">
      <c r="B996" s="36"/>
    </row>
    <row r="997" ht="15.75" customHeight="1">
      <c r="B997" s="36"/>
    </row>
    <row r="998" ht="15.75" customHeight="1">
      <c r="B998" s="36"/>
    </row>
    <row r="999" ht="15.75" customHeight="1">
      <c r="B999" s="36"/>
    </row>
    <row r="1000" ht="15.75" customHeight="1">
      <c r="B1000" s="36"/>
    </row>
  </sheetData>
  <autoFilter ref="$A$3:$B$34">
    <filterColumn colId="0">
      <filters>
        <filter val="Lexus"/>
        <filter val="Subaru"/>
        <filter val="Honda"/>
        <filter val="Infiniti"/>
        <filter val="Acura"/>
        <filter val="Mitsubishi"/>
        <filter val="Toyota"/>
        <filter val="Nissan"/>
      </filters>
    </filterColumn>
  </autoFilter>
  <printOptions/>
  <pageMargins bottom="0.75" footer="0.0" header="0.0" left="0.7" right="0.7" top="0.75"/>
  <pageSetup orientation="portrait"/>
  <drawing r:id="rId1"/>
</worksheet>
</file>